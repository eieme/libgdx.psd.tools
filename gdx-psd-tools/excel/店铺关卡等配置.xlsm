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525" windowHeight="12090" activeTab="8"/>
  </bookViews>
  <sheets>
    <sheet name="level" sheetId="14" r:id="rId1"/>
    <sheet name="facility" sheetId="3" r:id="rId2"/>
    <sheet name="prop" sheetId="4" r:id="rId3"/>
    <sheet name="food" sheetId="6" r:id="rId4"/>
    <sheet name="role" sheetId="5" r:id="rId5"/>
    <sheet name="chiplv" sheetId="8" r:id="rId6"/>
    <sheet name="mainconfig" sheetId="11" r:id="rId7"/>
    <sheet name="!1经济" sheetId="10" r:id="rId8"/>
    <sheet name="!店铺横纵向对比" sheetId="18" r:id="rId9"/>
    <sheet name="!无用" sheetId="17" r:id="rId10"/>
  </sheets>
  <calcPr calcId="144525"/>
</workbook>
</file>

<file path=xl/comments1.xml><?xml version="1.0" encoding="utf-8"?>
<comments xmlns="http://schemas.openxmlformats.org/spreadsheetml/2006/main">
  <authors>
    <author>dongliang</author>
  </authors>
  <commentList>
    <comment ref="A1" authorId="0">
      <text>
        <r>
          <rPr>
            <sz val="9"/>
            <rFont val="宋体"/>
            <charset val="134"/>
          </rPr>
          <t xml:space="preserve">例：第1关，有2波顾客!
第1波顾客人数为5人，等待计时为10秒，同时存在人数为3人，每个人之间间隔3秒，
（服务完第一波顾客后，第二波启动倒计时准备出现第二波顾客）
第2波顾客人数为10人，等待计时为5秒，同时存在人数为2人，每个人之间间隔5秒。
</t>
        </r>
      </text>
    </comment>
    <comment ref="C1" authorId="0">
      <text>
        <r>
          <rPr>
            <sz val="9"/>
            <rFont val="宋体"/>
            <charset val="134"/>
          </rPr>
          <t>解锁相应物品ID，解锁物品后对应设备也应该解锁
出现解锁物品的时候，需要调用一次操作引导</t>
        </r>
      </text>
    </comment>
  </commentList>
</comments>
</file>

<file path=xl/comments2.xml><?xml version="1.0" encoding="utf-8"?>
<comments xmlns="http://schemas.openxmlformats.org/spreadsheetml/2006/main">
  <authors>
    <author>dongliang</author>
  </authors>
  <commentList>
    <comment ref="B1" authorId="0">
      <text>
        <r>
          <rPr>
            <sz val="9"/>
            <rFont val="宋体"/>
            <charset val="134"/>
          </rPr>
          <t>顾客所需成品ID</t>
        </r>
      </text>
    </comment>
    <comment ref="C1" authorId="0">
      <text>
        <r>
          <rPr>
            <sz val="9"/>
            <rFont val="宋体"/>
            <charset val="134"/>
          </rPr>
          <t xml:space="preserve">例：第1关，有2波顾客!
第1波顾客人数为5人，等待计时为10秒，同时存在人数为3人，每个人之间间隔3秒，
（服务完第一波顾客后，第二波启动倒计时准备出现第二波顾客）
第2波顾客人数为10人，等待计时为5秒，同时存在人数为2人，每个人之间间隔5秒。
</t>
        </r>
      </text>
    </comment>
    <comment ref="C2" authorId="0">
      <text>
        <r>
          <rPr>
            <sz val="9"/>
            <rFont val="宋体"/>
            <charset val="134"/>
          </rPr>
          <t xml:space="preserve">调试关卡难度所需，顾客等待时间需要减去该数值
</t>
        </r>
      </text>
    </comment>
  </commentList>
</comments>
</file>

<file path=xl/sharedStrings.xml><?xml version="1.0" encoding="utf-8"?>
<sst xmlns="http://schemas.openxmlformats.org/spreadsheetml/2006/main" count="941" uniqueCount="596">
  <si>
    <t>店铺ID</t>
  </si>
  <si>
    <t>关卡ID</t>
  </si>
  <si>
    <t>解锁物品</t>
  </si>
  <si>
    <t xml:space="preserve">
难度设定：
1、时间减少难度加大
2、组1数值增加，难度增加</t>
  </si>
  <si>
    <t>结算奖励</t>
  </si>
  <si>
    <t>指定出现角色</t>
  </si>
  <si>
    <t>食材出现规则数量</t>
  </si>
  <si>
    <t>1、汉堡店
2、冰激凌店</t>
  </si>
  <si>
    <t>关卡_星级</t>
  </si>
  <si>
    <t>解锁物品id</t>
  </si>
  <si>
    <t>期望设备食材等级</t>
  </si>
  <si>
    <t>食材出现规则</t>
  </si>
  <si>
    <t>期望值
gold:200,maxdemand:2
foodcount:10,maxdemand:2</t>
  </si>
  <si>
    <t>顾客参数节奏参数
wt(等待计时)秒
stp(同时存在的人数)
wait(顾客等待时间增加或者减少)</t>
  </si>
  <si>
    <t>关卡需求
gold:100 金币数量 组1
praise:10 点赞数量 组1
role:10 照顾顾客数量 组1
dish:10上菜数量 组1
time:60 时间 组2
customer:1 使用角色限制 組2
wash:0 浪费食材数量 组3
go:0 流失顾客数量 组3
char:0 烧焦数量 组3
组1 组2 组3 不能重复
必须包含一个组1</t>
  </si>
  <si>
    <t>计算奖励的金币</t>
  </si>
  <si>
    <t xml:space="preserve">指定出现角色骨骼文件夹名称
空不填为全部角色
id(角色id)
</t>
  </si>
  <si>
    <t>是否是关键节点(关键节点解锁后才能展示后续关卡)
&gt;0 表示需要钥匙数量
0不是节点关</t>
  </si>
  <si>
    <t>解锁奖励物品 
金币gold：100
钻石gem:5</t>
  </si>
  <si>
    <t>是否是钥匙关卡
1是
0不是,同一个group内只能有一个钥匙</t>
  </si>
  <si>
    <t>sid</t>
  </si>
  <si>
    <t>id</t>
  </si>
  <si>
    <t>unlock#[]</t>
  </si>
  <si>
    <t>fflv#{}</t>
  </si>
  <si>
    <t>rule#[]</t>
  </si>
  <si>
    <t>expect#{}</t>
  </si>
  <si>
    <t>cust#{}</t>
  </si>
  <si>
    <t>target#{}</t>
  </si>
  <si>
    <t>settle</t>
  </si>
  <si>
    <t>role#[]</t>
  </si>
  <si>
    <t>joint</t>
  </si>
  <si>
    <t>prize#{}</t>
  </si>
  <si>
    <t>key</t>
  </si>
  <si>
    <t>foodnum#{}</t>
  </si>
  <si>
    <t>1_1</t>
  </si>
  <si>
    <t>1000,1003,1005,2001,2002,2003,10001,10002,10003,10004,10005,10006,10007</t>
  </si>
  <si>
    <t>1,2,3,4,5,6</t>
  </si>
  <si>
    <t>2_1</t>
  </si>
  <si>
    <t>3_1</t>
  </si>
  <si>
    <t>4_1</t>
  </si>
  <si>
    <t>1002</t>
  </si>
  <si>
    <t>5_1</t>
  </si>
  <si>
    <t>6_1</t>
  </si>
  <si>
    <t>1001</t>
  </si>
  <si>
    <t>7_1</t>
  </si>
  <si>
    <t>8_1</t>
  </si>
  <si>
    <t>1004,2004</t>
  </si>
  <si>
    <t>9_1</t>
  </si>
  <si>
    <t>10_1</t>
  </si>
  <si>
    <t>11_1</t>
  </si>
  <si>
    <t>12_1</t>
  </si>
  <si>
    <t>13_1</t>
  </si>
  <si>
    <t>14_1</t>
  </si>
  <si>
    <t>15_1</t>
  </si>
  <si>
    <t>1_2</t>
  </si>
  <si>
    <t>2_2</t>
  </si>
  <si>
    <t>3_2</t>
  </si>
  <si>
    <t>4_2</t>
  </si>
  <si>
    <t>5_2</t>
  </si>
  <si>
    <t>6_2</t>
  </si>
  <si>
    <t>7_2</t>
  </si>
  <si>
    <t>8_2</t>
  </si>
  <si>
    <t>9_2</t>
  </si>
  <si>
    <t>10_2</t>
  </si>
  <si>
    <t>11_2</t>
  </si>
  <si>
    <t>12_2</t>
  </si>
  <si>
    <t>13_2</t>
  </si>
  <si>
    <t>14_2</t>
  </si>
  <si>
    <t>15_2</t>
  </si>
  <si>
    <t>1_3</t>
  </si>
  <si>
    <t>2_3</t>
  </si>
  <si>
    <t>3_3</t>
  </si>
  <si>
    <t>4_3</t>
  </si>
  <si>
    <t>5_3</t>
  </si>
  <si>
    <t>6_3</t>
  </si>
  <si>
    <t>7_3</t>
  </si>
  <si>
    <t>8_3</t>
  </si>
  <si>
    <t>9_3</t>
  </si>
  <si>
    <t>10_3</t>
  </si>
  <si>
    <t>11_3</t>
  </si>
  <si>
    <t>12_3</t>
  </si>
  <si>
    <t>13_3</t>
  </si>
  <si>
    <t>14_3</t>
  </si>
  <si>
    <t>15_3</t>
  </si>
  <si>
    <t>gold:3000;gem:20</t>
  </si>
  <si>
    <t>ID</t>
  </si>
  <si>
    <t>国际化名称</t>
  </si>
  <si>
    <t>配置</t>
  </si>
  <si>
    <t>代表名称</t>
  </si>
  <si>
    <t>相对ID</t>
  </si>
  <si>
    <t>设备升级</t>
  </si>
  <si>
    <t>ID编号</t>
  </si>
  <si>
    <t>翻译ID</t>
  </si>
  <si>
    <t>商店里使用的图片</t>
  </si>
  <si>
    <t>碎片图</t>
  </si>
  <si>
    <t>sg：消耗金币
sd:消耗钻石
time:制作时间
char:烧焦时间
num:份量
cp:碎片</t>
  </si>
  <si>
    <t>（需解锁），需要在level关卡数据中添加解锁标记ID，进行相关解锁</t>
  </si>
  <si>
    <t>img#[]</t>
  </si>
  <si>
    <t>chip</t>
  </si>
  <si>
    <t>lv#[{}]</t>
  </si>
  <si>
    <t>text62</t>
  </si>
  <si>
    <t>cokemachine1_1,cokemachine1_2,cokemachine1_3</t>
  </si>
  <si>
    <t>chip1_8</t>
  </si>
  <si>
    <t>可乐机（需解锁）</t>
  </si>
  <si>
    <t>text63</t>
  </si>
  <si>
    <t>plate1_1,plate1_2,plate1_3</t>
  </si>
  <si>
    <t>chip1_10</t>
  </si>
  <si>
    <t>汉堡制作台（需解锁）</t>
  </si>
  <si>
    <t>text64</t>
  </si>
  <si>
    <t>pan1_1,pan1_2,pan1_3</t>
  </si>
  <si>
    <t>chip1_7</t>
  </si>
  <si>
    <t>肉饼煎盘（需解锁）</t>
  </si>
  <si>
    <t>text65</t>
  </si>
  <si>
    <t>skillet1_1,skillet1_2,skillet1_3</t>
  </si>
  <si>
    <t>chip1_9</t>
  </si>
  <si>
    <t>鸡腿烤盘（需解锁）</t>
  </si>
  <si>
    <t>teamachine2_1,teamachine2_2,teamachine2_3</t>
  </si>
  <si>
    <t>chip2_11</t>
  </si>
  <si>
    <t>sg:0;sd:0;cp:0;time:8;char:6;num:1,
sg:200;sd:0;cp:2;time:6;char:8;num:2,
sg:150;sd:0;cp:2;time:4;char:10;num:3</t>
  </si>
  <si>
    <t>奶茶机（需解锁）</t>
  </si>
  <si>
    <t>icecream2_1,icecream2_2,icecream2_3,icecream2_4</t>
  </si>
  <si>
    <t>chip2_12</t>
  </si>
  <si>
    <t>冰激凌制作台（需解锁）</t>
  </si>
  <si>
    <t>jam2_1,jam2_2,jam2_3</t>
  </si>
  <si>
    <t>chip2_13</t>
  </si>
  <si>
    <t>巧克力机（需解锁）</t>
  </si>
  <si>
    <t>conemachine2_1,conemachine2_2,conemachine2_3</t>
  </si>
  <si>
    <t>chip2_14</t>
  </si>
  <si>
    <t>甜筒机（需解锁）</t>
  </si>
  <si>
    <t>标题</t>
  </si>
  <si>
    <t>详情描述</t>
  </si>
  <si>
    <t>des</t>
  </si>
  <si>
    <t>img</t>
  </si>
  <si>
    <t>resuce</t>
  </si>
  <si>
    <t>text25</t>
  </si>
  <si>
    <t>text31</t>
  </si>
  <si>
    <t>prop1</t>
  </si>
  <si>
    <t>resuce3</t>
  </si>
  <si>
    <t>增加时间</t>
  </si>
  <si>
    <t>text27</t>
  </si>
  <si>
    <t>text32</t>
  </si>
  <si>
    <t>prop2</t>
  </si>
  <si>
    <t>增加金币</t>
  </si>
  <si>
    <t>需要添加引导</t>
  </si>
  <si>
    <t>text28</t>
  </si>
  <si>
    <t>text33</t>
  </si>
  <si>
    <t>prop3</t>
  </si>
  <si>
    <t>顾客愉悦</t>
  </si>
  <si>
    <t>text29</t>
  </si>
  <si>
    <t>text34</t>
  </si>
  <si>
    <t>prop4</t>
  </si>
  <si>
    <t>防糊漏斗</t>
  </si>
  <si>
    <t>text30</t>
  </si>
  <si>
    <t>text35</t>
  </si>
  <si>
    <t>prop5</t>
  </si>
  <si>
    <t>立即完成</t>
  </si>
  <si>
    <t>text26</t>
  </si>
  <si>
    <t>text36</t>
  </si>
  <si>
    <t>prop6</t>
  </si>
  <si>
    <t>resuce2</t>
  </si>
  <si>
    <t>增加顾客</t>
  </si>
  <si>
    <t>text66</t>
  </si>
  <si>
    <t>text67</t>
  </si>
  <si>
    <t>prop7</t>
  </si>
  <si>
    <t>resuce1</t>
  </si>
  <si>
    <t>重新开始</t>
  </si>
  <si>
    <t>test</t>
  </si>
  <si>
    <t>是否原材料
原材料需要在升级</t>
  </si>
  <si>
    <t>食材结束制作后跳转ID</t>
  </si>
  <si>
    <t>设备ID</t>
  </si>
  <si>
    <t>拖动类型</t>
  </si>
  <si>
    <t>缩放比例</t>
  </si>
  <si>
    <t>ID编号
需解锁id必须在跳转id前</t>
  </si>
  <si>
    <t>必须填入店铺ID</t>
  </si>
  <si>
    <t xml:space="preserve">ogn:0不是
1是
</t>
  </si>
  <si>
    <t>商店食材图片</t>
  </si>
  <si>
    <t>游戏界面食材图片</t>
  </si>
  <si>
    <t>碎片图片</t>
  </si>
  <si>
    <t>sg：消耗金币
sp:游戏中售出单价</t>
  </si>
  <si>
    <t>完成后跳转到新的食材
例：点击薯条1008跳转到炸中薯条1017然后制作15秒后跳转到炸完成的薯条1023然后等待3秒跳转到成品1018</t>
  </si>
  <si>
    <t>源id</t>
  </si>
  <si>
    <t>食材放置默认设备位置</t>
  </si>
  <si>
    <t>0不能点不能拖动
1可点
2可拖</t>
  </si>
  <si>
    <t>百分比
放置点为P点的中下
默认为0：不会进行缩放
1正常比例
0.X为缩小
浮点缩小
pick: 拿起
menu: 顾客需求</t>
  </si>
  <si>
    <t>ogn</t>
  </si>
  <si>
    <t>simg#[]</t>
  </si>
  <si>
    <t>gimg#[]</t>
  </si>
  <si>
    <t>upid</t>
  </si>
  <si>
    <t>origin</t>
  </si>
  <si>
    <t>did</t>
  </si>
  <si>
    <t>ct</t>
  </si>
  <si>
    <t>scale#{}</t>
  </si>
  <si>
    <t>text56</t>
  </si>
  <si>
    <t>hamburger1_1,hamburger1_2,hamburger1_3</t>
  </si>
  <si>
    <t>food1_7,food1_8,food1_9</t>
  </si>
  <si>
    <t>chip1_1</t>
  </si>
  <si>
    <t>pick:1.2;menu:1</t>
  </si>
  <si>
    <t>点击位置汉堡胚（需解锁）</t>
  </si>
  <si>
    <t>text59</t>
  </si>
  <si>
    <t>pork1_1,pork1_2,pork1_3</t>
  </si>
  <si>
    <t>food1_10,food1_11,food1_12</t>
  </si>
  <si>
    <t>chip1_4</t>
  </si>
  <si>
    <r>
      <rPr>
        <sz val="12"/>
        <rFont val="宋体"/>
        <charset val="134"/>
      </rPr>
      <t>pick:1</t>
    </r>
    <r>
      <rPr>
        <sz val="12"/>
        <rFont val="宋体"/>
        <charset val="134"/>
      </rPr>
      <t>.2</t>
    </r>
    <r>
      <rPr>
        <sz val="12"/>
        <rFont val="宋体"/>
        <charset val="134"/>
      </rPr>
      <t>;menu:1</t>
    </r>
  </si>
  <si>
    <t>生肉饼（需解锁）</t>
  </si>
  <si>
    <t>text61</t>
  </si>
  <si>
    <t>coke1_1,coke1_2,coke1_3</t>
  </si>
  <si>
    <t>food1_19,food1_20,food1_21</t>
  </si>
  <si>
    <t>chip1_3</t>
  </si>
  <si>
    <t>可乐（需解锁）</t>
  </si>
  <si>
    <t>text58</t>
  </si>
  <si>
    <t>lettuce1_1,lettuce1_2,lettuce1_3</t>
  </si>
  <si>
    <t>food1_4,food1_5,food1_6</t>
  </si>
  <si>
    <t>chip1_5</t>
  </si>
  <si>
    <t>生菜（需解锁）</t>
  </si>
  <si>
    <t>text60</t>
  </si>
  <si>
    <t>drumstick1_1,drumstick1_2,drumstick1_3</t>
  </si>
  <si>
    <t>food1_40,food1_41,food1_42</t>
  </si>
  <si>
    <t>chip1_2</t>
  </si>
  <si>
    <t>生鸡腿（需解锁）</t>
  </si>
  <si>
    <t>text57</t>
  </si>
  <si>
    <t>cheese1_1,cheese1_2,cheese1_3</t>
  </si>
  <si>
    <t>food1_1,food1_2,food1_3</t>
  </si>
  <si>
    <t>chip1_6</t>
  </si>
  <si>
    <t>芝士（需解锁）</t>
  </si>
  <si>
    <t>等待合成汉堡坯</t>
  </si>
  <si>
    <t>food1_32,food1_33,food1_34</t>
  </si>
  <si>
    <t>制作中的肉饼</t>
  </si>
  <si>
    <t>food1_35,food1_36,food1_37</t>
  </si>
  <si>
    <t>熟肉饼</t>
  </si>
  <si>
    <t>food1_38,food1_38,food1_38</t>
  </si>
  <si>
    <t>糊肉饼</t>
  </si>
  <si>
    <t>food1_39,food1_39,food1_39</t>
  </si>
  <si>
    <t>制作中的鸡腿</t>
  </si>
  <si>
    <t>food1_13,food1_14,food1_15</t>
  </si>
  <si>
    <t>pick:1.2;menu:0.7</t>
  </si>
  <si>
    <t>熟鸡腿</t>
  </si>
  <si>
    <t>food1_16,food1_17,food1_18</t>
  </si>
  <si>
    <t>pick:1.2;menu:0.8</t>
  </si>
  <si>
    <t>成品可乐</t>
  </si>
  <si>
    <t>pick:1.2;menu:0.6</t>
  </si>
  <si>
    <t>汉堡坯+肉饼</t>
  </si>
  <si>
    <t>汉堡坯+芝士</t>
  </si>
  <si>
    <t>汉堡坯+生菜</t>
  </si>
  <si>
    <t>汉堡坯+肉饼+芝士</t>
  </si>
  <si>
    <t>汉堡坯+肉饼+生菜</t>
  </si>
  <si>
    <t>汉堡坯+芝士+生菜</t>
  </si>
  <si>
    <t>汉堡坯+肉饼+芝士+生菜</t>
  </si>
  <si>
    <t>text126</t>
  </si>
  <si>
    <t>tea2_1,tea2_2,tea2_3</t>
  </si>
  <si>
    <t>food2_38,food2_40,food2_42</t>
  </si>
  <si>
    <t>chip2_5</t>
  </si>
  <si>
    <t>sg:0;sd:0;cp:0;sp:5,
sg:500;sd:0;cp:2;sp:6,
sg:550;sd:0;cp:3;sp:7,
sg:600;sd:0;cp:3;sp:8,
sg:500;sd:0;cp:2;sp:9,
sg:550;sd:0;cp:3;sp:10,
sg:600;sd:0;cp:3;sp:11</t>
  </si>
  <si>
    <t>奶茶（需解锁）</t>
  </si>
  <si>
    <t>text127</t>
  </si>
  <si>
    <t>strawberry2_1,strawberry2_2,strawberry2_3</t>
  </si>
  <si>
    <t>food2_1,food2_2,food2_3</t>
  </si>
  <si>
    <t>chip2_1</t>
  </si>
  <si>
    <t>草莓（需解锁）</t>
  </si>
  <si>
    <t>text128</t>
  </si>
  <si>
    <t>bean2_1,bean2_2,bean2_3</t>
  </si>
  <si>
    <t>food2_4,food2_5,food2_6</t>
  </si>
  <si>
    <t>chip2_2</t>
  </si>
  <si>
    <t>咖啡豆（需解锁）</t>
  </si>
  <si>
    <t>text129</t>
  </si>
  <si>
    <t>pitaya2_1,pitaya2_2,pitaya2_3</t>
  </si>
  <si>
    <t>food2_7,food2_8,food2_9</t>
  </si>
  <si>
    <t>chip2_3</t>
  </si>
  <si>
    <t>火龙果（需解锁）</t>
  </si>
  <si>
    <t>text130</t>
  </si>
  <si>
    <t>mango2_1,mango2_2,mango2_3</t>
  </si>
  <si>
    <t>food2_10,food2_11,food2_12</t>
  </si>
  <si>
    <t>chip2_4</t>
  </si>
  <si>
    <t>芒果（需解锁）</t>
  </si>
  <si>
    <t>text131</t>
  </si>
  <si>
    <t>whitecream2_1,whitecream2_2,whitecream2_3</t>
  </si>
  <si>
    <t>food2_19,food2_20,food2_21</t>
  </si>
  <si>
    <t>chip2_6</t>
  </si>
  <si>
    <t>白奶油（需解锁）</t>
  </si>
  <si>
    <t>text132</t>
  </si>
  <si>
    <t>greencream2_1,greencream2_2,greencream2_3</t>
  </si>
  <si>
    <t>food2_16,food2_17,food2_18</t>
  </si>
  <si>
    <t>chip2_7</t>
  </si>
  <si>
    <t>绿奶油（需解锁）</t>
  </si>
  <si>
    <t>text133</t>
  </si>
  <si>
    <t>yellowcream2_1,yellowcream2_2,yellowcream2_3</t>
  </si>
  <si>
    <t>food2_13,food2_14,food2_15</t>
  </si>
  <si>
    <t>chip2_9</t>
  </si>
  <si>
    <t>黄奶油（需解锁）</t>
  </si>
  <si>
    <t>text134</t>
  </si>
  <si>
    <t>cone2_1,cone2_1,cone2_1</t>
  </si>
  <si>
    <t>food2_44,food2_44,food2_44</t>
  </si>
  <si>
    <t>chip2_10</t>
  </si>
  <si>
    <t>甜筒（需解锁）</t>
  </si>
  <si>
    <t>text135</t>
  </si>
  <si>
    <t>food2_48,food2_48,food2_48</t>
  </si>
  <si>
    <t>巧克力酱汁（需解锁）</t>
  </si>
  <si>
    <t>food2_39,food2_41,food2_43</t>
  </si>
  <si>
    <t>成品奶茶</t>
  </si>
  <si>
    <t>sg:0;sd:0;cp:0;sp:0</t>
  </si>
  <si>
    <t>冰激凌杯托</t>
  </si>
  <si>
    <t>food2_45,food2_46,food2_47</t>
  </si>
  <si>
    <t>成品甜筒</t>
  </si>
  <si>
    <t>制作中的巧克力酱汁</t>
  </si>
  <si>
    <t>food2_49,food2_49,food2_49</t>
  </si>
  <si>
    <t>成品巧克力酱汁</t>
  </si>
  <si>
    <t>food2_50,food2_50,food2_50</t>
  </si>
  <si>
    <t>失败巧克力酱汁</t>
  </si>
  <si>
    <t>白奶油+巧克力酱汁</t>
  </si>
  <si>
    <t>绿奶油+巧克力酱汁</t>
  </si>
  <si>
    <t>黄奶油+巧克力酱汁</t>
  </si>
  <si>
    <t>白奶油+草莓</t>
  </si>
  <si>
    <t>白奶油+咖啡豆</t>
  </si>
  <si>
    <t>白奶油+火龙果</t>
  </si>
  <si>
    <t>白奶油+芒果</t>
  </si>
  <si>
    <t>绿奶油+草莓</t>
  </si>
  <si>
    <t>绿奶油+咖啡豆</t>
  </si>
  <si>
    <t>绿奶油+火龙果</t>
  </si>
  <si>
    <t>绿奶油+芒果</t>
  </si>
  <si>
    <t>黄奶油+草莓</t>
  </si>
  <si>
    <t>黄奶油+咖啡豆</t>
  </si>
  <si>
    <t>黄奶油+火龙果</t>
  </si>
  <si>
    <t>黄奶油+芒果</t>
  </si>
  <si>
    <t>白奶油+草莓+巧克力酱汁</t>
  </si>
  <si>
    <t>白奶油+咖啡豆+巧克力酱汁</t>
  </si>
  <si>
    <t>白奶油+火龙果+巧克力酱汁</t>
  </si>
  <si>
    <t>白奶油+芒果+巧克力酱汁</t>
  </si>
  <si>
    <t>绿奶油+草莓+巧克力酱汁</t>
  </si>
  <si>
    <t>绿奶油+咖啡豆+巧克力酱汁</t>
  </si>
  <si>
    <t>绿奶油+火龙果+巧克力酱汁</t>
  </si>
  <si>
    <t>绿奶油+芒果+巧克力酱汁</t>
  </si>
  <si>
    <t>黄奶油+草莓+巧克力酱汁</t>
  </si>
  <si>
    <t>黄奶油+咖啡豆+巧克力酱汁</t>
  </si>
  <si>
    <t>黄奶油+火龙果+巧克力酱汁</t>
  </si>
  <si>
    <t>黄奶油+芒果+巧克力酱汁</t>
  </si>
  <si>
    <t>角色ID</t>
  </si>
  <si>
    <t>骨骼文件</t>
  </si>
  <si>
    <t>游戏中默认需求等待时间</t>
  </si>
  <si>
    <t>表情百分比：对照时间</t>
  </si>
  <si>
    <t>移动速度</t>
  </si>
  <si>
    <t>此列按照递增书序，中间不可有间断，否则程序出现错乱</t>
  </si>
  <si>
    <t>单位：秒</t>
  </si>
  <si>
    <t xml:space="preserve">百分比浮点类型
默认move为移动不计算需求时间
时间达到p:1-0.8时候变为开心表情
key:动作名称
p:百分比(浮点)
audio:音效
</t>
  </si>
  <si>
    <t>一秒移动多少像素
越大越快
默认移动：500</t>
  </si>
  <si>
    <t>spine</t>
  </si>
  <si>
    <t>wait</t>
  </si>
  <si>
    <t>play#[{}]</t>
  </si>
  <si>
    <t>speed</t>
  </si>
  <si>
    <t>Spine/roles/1/Visitor-1</t>
  </si>
  <si>
    <t>key:move;p:1,
key:kaixin;p:0.8,
key:pingdan;p:0.6,
key:nanguo;p:0.4;audio:womansad04,
key:shengqi;p:0.3;audio:womanangry04</t>
  </si>
  <si>
    <t>Spine/roles/2/Visitor-2</t>
  </si>
  <si>
    <t>key:move;p:1,
key:kaixin;p:0.8,
key:pingdan;p:0.6,
key:nanguo;p:0.4;audio:womansad16,
key:shengqi;p:0.3;audio:womanangry16</t>
  </si>
  <si>
    <t>Spine/roles/3/Visitor-3</t>
  </si>
  <si>
    <t>key:move;p:1,
key:kaixin;p:0.8,
key:pingdan;p:0.6,
key:nanguo;p:0.4;audio:manangle02,
key:shengqi;p:0.3;audio:manangry14</t>
  </si>
  <si>
    <t>Spine/roles/4/Visitor-4</t>
  </si>
  <si>
    <t>key:move;p:1,
key:kaixin;p:0.8,
key:pingdan;p:0.6,
key:nanguo;p:0.4;audio:mansad17,
key:shengqi;p:0.3;audio:manangry17</t>
  </si>
  <si>
    <t>Spine/roles/5/Visitor-5</t>
  </si>
  <si>
    <t>key:move;p:1,
key:kaixin;p:0.8,
key:pingdan;p:0.6,
key:nanguo;p:0.4;audio:mansad08,
key:shengqi;p:0.3;audio:manangry08</t>
  </si>
  <si>
    <t>Spine/roles/6/Visitor-6</t>
  </si>
  <si>
    <t>key:move;p:1,
key:kaixin;p:0.8,
key:pingdan;p:0.6,
key:nanguo;p:0.4;audio:mansad08,
key:shengqi;p:0.2;audio:manangry08</t>
  </si>
  <si>
    <t>Spine/roles/7/Visitor-7</t>
  </si>
  <si>
    <t>key:move;p:1,
key:kaixin;p:0.8,
key:pingdan;p:0.6,
key:nanguo;p:0.4;audio:womansad07,
key:shengqi;p:0.3;audio:womanangry07</t>
  </si>
  <si>
    <t>Spine/roles/8/Visitor-8</t>
  </si>
  <si>
    <t>key:move;p:1,
key:kaixin;p:0.8,
key:pingdan;p:0.6,
key:nanguo;p:0.4;audio:womansad15,
key:shengqi;p:0.3;audio:womanangry15</t>
  </si>
  <si>
    <t>Spine/roles/9/Visitor-9</t>
  </si>
  <si>
    <t>key:move;p:1,
key:kaixin;p:0.8,
key:pingdan;p:0.6,
key:nanguo;p:0.4;audio:womansad11,
key:shengqi;p:0.3;audio:womanangry11</t>
  </si>
  <si>
    <t>Spine/roles/10/Visitor-10</t>
  </si>
  <si>
    <t>key:move;p:1,
key:kaixin;p:0.8,
key:pingdan;p:0.6,
key:nanguo;p:0.4;audio:womansad10,
key:shengqi;p:0.3;audio:womanangry06</t>
  </si>
  <si>
    <t>Spine/roles/11/Visitor-11</t>
  </si>
  <si>
    <t>key:move;p:1,
key:kaixin;p:0.8,
key:pingdan;p:0.6,
key:nanguo;p:0.4;audio:mansad02,
key:shengqi;p:0.3;audio:manangry14</t>
  </si>
  <si>
    <t>Spine/roles/12/Visitor-12</t>
  </si>
  <si>
    <t>key:move;p:1,
key:kaixin;p:0.8,
key:pingdan;p:0.6,
key:nanguo;p:0.4;audio:mansad,
key:shengqi;p:0.3;audio:manangle</t>
  </si>
  <si>
    <t>Spine/roles/13/Visitor-13</t>
  </si>
  <si>
    <t>key:move;p:1,
key:kaixin;p:0.8,
key:pingdan;p:0.6,
key:nanguo;p:0.4;audio:mansad13,
key:shengqi;p:0.3;audio:manangle01</t>
  </si>
  <si>
    <t>Spine/roles/14/Visitor-14</t>
  </si>
  <si>
    <t>Spine/roles/15/Visitor-15</t>
  </si>
  <si>
    <t>key:move;p:1,
key:kaixin;p:0.8,
key:pingdan;p:0.6,
key:nanguo;p:0.4;audio:womansad09,
key:shengqi;p:0.3;audio:womanangry09</t>
  </si>
  <si>
    <t>Spine/roles/16/Visitor-16</t>
  </si>
  <si>
    <t>Spine/roles/17/Visitor-17</t>
  </si>
  <si>
    <t>顾客需求</t>
  </si>
  <si>
    <t>顾客出现规则
当前屏幕内出现顾客图片样式不可重复(WT\TI支持毫秒）</t>
  </si>
  <si>
    <t>碎片关卡</t>
  </si>
  <si>
    <t xml:space="preserve">gp:组别
1 2 3序号不能中断
</t>
  </si>
  <si>
    <r>
      <rPr>
        <sz val="12"/>
        <rFont val="宋体"/>
        <charset val="134"/>
      </rPr>
      <t xml:space="preserve">wc(波数)
wt(等待计时（每波中间的间隔）)秒
pn(人数)
stp(同时存在的人数)
ti(时间间隔（上个人走后下个人出现）)秒
min(需求食材最小数量)
max(最大需求数量)
op(降低顾客等待时间)（单位秒）降低为负数 增加为正数
gp:食材组别，不填写默认在所有需求中随机
wait:是否等待本轮完成才加载下一轮 1是 0否 不填写为等待
</t>
    </r>
    <r>
      <rPr>
        <sz val="12"/>
        <color rgb="FFFF0000"/>
        <rFont val="宋体"/>
        <charset val="134"/>
      </rPr>
      <t>配置总人数至少20</t>
    </r>
  </si>
  <si>
    <t xml:space="preserve">
gold:100 金币数量 组1
praise:10 点赞数量 组1
role:10 照顾顾客数量 组1
dish:10上菜数量 组1
time:60 时间 组2
wash:0 浪费食材数量 组3
go:0 流失顾客数量 组3
char:0 烧焦数量 组3
组1 组2 组3 不能重复
必须包含一个组1</t>
  </si>
  <si>
    <t>req#[]</t>
  </si>
  <si>
    <t>rules#[{}]</t>
  </si>
  <si>
    <t>1011,1012,4001,4002,4003,4004,4005,4006,4007</t>
  </si>
  <si>
    <t>wc:1;wt:0.6;pn:1;stp:1;ti:2;min:3;max:3;op:3,
wc:2;wt:0.6;pn:2;stp:1;ti:2;min:3;max:3;op:3,
wc:3;wt:0.6;pn:2;stp:1;ti:2;min:3;max:3;op:3,
wc:4;wt:0.6;pn:2;stp:1;ti:2;min:3;max:3;op:3,
wc:5;wt:0.6;pn:2;stp:1;ti:2;min:3;max:3;op:3,
wc:6;wt:0.6;pn:2;stp:1;ti:2;min:3;max:3;op:3,
wc:7;wt:0.6;pn:2;stp:1;ti:2;min:3;max:3;op:3,
wc:8;wt:0.6;pn:2;stp:1;ti:2;min:3;max:3;op:3,
wc:9;wt:0.6;pn:2;stp:1;ti:2;min:3;max:3;op:3,
wc:10;wt:0.6;pn:2;stp:1;ti:2;min:3;max:3;op:3,
wc:11;wt:0.6;pn:2;stp:1;ti:2;min:3;max:3;op:3,</t>
  </si>
  <si>
    <t>17</t>
  </si>
  <si>
    <t>role:10;time:60;char:0</t>
  </si>
  <si>
    <t>名称key</t>
  </si>
  <si>
    <t>内购金币</t>
  </si>
  <si>
    <t xml:space="preserve">
gold得到金币
diamond得到钻石
power体力 
money内购的价格
time倒计时单位：分
id店铺ID标示
keynum钥匙数量
cwt增加顾客等待的时间（支持浮点）单位秒</t>
  </si>
  <si>
    <t>name</t>
  </si>
  <si>
    <t>configuration#[{}]</t>
  </si>
  <si>
    <t>signin</t>
  </si>
  <si>
    <t>gold:0;power:10,
gold:0;power:5;propid:10001_2,
gold:0;diamond:5,
gold:0;power:20,
gold:0;diamond:5,
gold:0;diamond:5,
gold:0;power:30;propid:10001_2</t>
  </si>
  <si>
    <t>7天连续登陆奖励</t>
  </si>
  <si>
    <t>power 属性为无限体力时间 单位分</t>
  </si>
  <si>
    <t>diamondshop</t>
  </si>
  <si>
    <t>diamond:20;money:0.99;time:0,
diamond:70;money:2.99;time:0,
diamond:110;money:4.99;time:10,
diamond:250;money:9.99;time:20,
diamond:520;money:19.99;time:30,
diamond:1450;money:49.99;time:40,
diamond:3000;money:99.99;time:50</t>
  </si>
  <si>
    <t>钻石内购</t>
  </si>
  <si>
    <t>goldshop</t>
  </si>
  <si>
    <t>diamond:10;gold:100,
diamond:70;gold:700,
diamond:110;gold:1100,
diamond:250;gold:2500,
diamond:520;gold:5200,
diamond:1410;gold:14100,
diamond:3000;gold:30000</t>
  </si>
  <si>
    <t>金币内购</t>
  </si>
  <si>
    <t>propshop</t>
  </si>
  <si>
    <t>道具商店</t>
  </si>
  <si>
    <t>giftshop</t>
  </si>
  <si>
    <t xml:space="preserve">
key:text1;diamond:10;propid:10001_10002_10003_10004;num:1_1_1_1;money:0.99,
key:text1;diamond:10;propid:10001_10002_10003_10004_10005;num:3_3_3_3_3;money:0.99,
key:text1;diamond:10;propid:10001_10002_10003_10004_10005;num:4_4_4_4_4;money:0.99,
key:text1;diamond:10;propid:10001_10002_10003_10004_10005;num:5_5_5_5_5;money:0.99</t>
  </si>
  <si>
    <t>礼包商店</t>
  </si>
  <si>
    <t>暂时无用</t>
  </si>
  <si>
    <t>mainvideo</t>
  </si>
  <si>
    <t>time:0;diamond:3,
time:5;diamond:4,
time:5;diamond:5</t>
  </si>
  <si>
    <t>主菜单视频入口</t>
  </si>
  <si>
    <t>shops</t>
  </si>
  <si>
    <t>id:1;keynum:0;cwt:0,
id:2;keynum:1;cwt:0,
id:3;keynum:1;cwt:0,
id:4;keynum:1;cwt:0,
id:5;keynum:60;cwt:0,
id:6;keynum:60;cwt:0,
id:7;keynum:60;cwt:0,
id:8;keynum:60;cwt:0,
id:9;keynum:60;cwt:0,
id:10;keynum:60;cwt:0,
id:11;keynum:60;cwt:0,
id:12;keynum:60;cwt:0,</t>
  </si>
  <si>
    <t>店铺ID与解锁消耗需求
金币与钻石为0则为默认解锁</t>
  </si>
  <si>
    <t>evaluate</t>
  </si>
  <si>
    <t>diamond:50</t>
  </si>
  <si>
    <t>五星评价奖励钻石数量</t>
  </si>
  <si>
    <t>recfood</t>
  </si>
  <si>
    <t>time:5</t>
  </si>
  <si>
    <t>获取食材增加顾客等待时间</t>
  </si>
  <si>
    <t>1店铺设备</t>
  </si>
  <si>
    <t>time:</t>
  </si>
  <si>
    <t>sg:</t>
  </si>
  <si>
    <t>char:</t>
  </si>
  <si>
    <t>num:</t>
  </si>
  <si>
    <t>解锁关卡</t>
  </si>
  <si>
    <t>设备名称</t>
  </si>
  <si>
    <t>等级</t>
  </si>
  <si>
    <t>制作时间</t>
  </si>
  <si>
    <t>升级金币价格</t>
  </si>
  <si>
    <t>烧焦时间</t>
  </si>
  <si>
    <t>份量</t>
  </si>
  <si>
    <t>最终数据样式</t>
  </si>
  <si>
    <t>总升级金额</t>
  </si>
  <si>
    <t>可乐机</t>
  </si>
  <si>
    <t>汉堡制作台</t>
  </si>
  <si>
    <t>肉饼煎盘</t>
  </si>
  <si>
    <t>鸡腿烤盘</t>
  </si>
  <si>
    <t>1店食材</t>
  </si>
  <si>
    <t>sp:</t>
  </si>
  <si>
    <t>食材名称</t>
  </si>
  <si>
    <t>销售价格</t>
  </si>
  <si>
    <t>汉堡胚</t>
  </si>
  <si>
    <t>肉饼</t>
  </si>
  <si>
    <t>可乐</t>
  </si>
  <si>
    <t>生菜</t>
  </si>
  <si>
    <t>鸡腿</t>
  </si>
  <si>
    <t>芝士</t>
  </si>
  <si>
    <t>道具</t>
  </si>
  <si>
    <t>propid:</t>
  </si>
  <si>
    <t>diamond:</t>
  </si>
  <si>
    <t>名称</t>
  </si>
  <si>
    <t>钻石价格</t>
  </si>
  <si>
    <t>数量</t>
  </si>
  <si>
    <t>1汉堡店铺</t>
  </si>
  <si>
    <t>金币：卡食材升级，点赞与上菜：卡设备升级</t>
  </si>
  <si>
    <t>分</t>
  </si>
  <si>
    <t>秒</t>
  </si>
  <si>
    <t>实际秒数</t>
  </si>
  <si>
    <t>gold:</t>
  </si>
  <si>
    <t>maxdemand:</t>
  </si>
  <si>
    <t>foodcount:</t>
  </si>
  <si>
    <t>需要开始制作当前关卡</t>
  </si>
  <si>
    <t>2002:</t>
  </si>
  <si>
    <t>2003:</t>
  </si>
  <si>
    <t>2001:</t>
  </si>
  <si>
    <t>2004:</t>
  </si>
  <si>
    <t>1000:</t>
  </si>
  <si>
    <t>1003:</t>
  </si>
  <si>
    <t>1005:</t>
  </si>
  <si>
    <t>1002:</t>
  </si>
  <si>
    <t>1004:</t>
  </si>
  <si>
    <t>1001:</t>
  </si>
  <si>
    <t>游戏目标值
影响游戏难度的
带有颜色必须填入</t>
  </si>
  <si>
    <t>编辑器用到
带有颜色必须填入</t>
  </si>
  <si>
    <t>备注</t>
  </si>
  <si>
    <t>过关条件</t>
  </si>
  <si>
    <t>顾客节奏</t>
  </si>
  <si>
    <t>期望值</t>
  </si>
  <si>
    <t>食材ID</t>
  </si>
  <si>
    <t>金币：卡食材升级，
点赞与上菜：卡设备升级</t>
  </si>
  <si>
    <t>星级</t>
  </si>
  <si>
    <t>礼盒</t>
  </si>
  <si>
    <t>钥匙</t>
  </si>
  <si>
    <t>组1</t>
  </si>
  <si>
    <t>组2</t>
  </si>
  <si>
    <t>组3</t>
  </si>
  <si>
    <t>食材需求与等级</t>
  </si>
  <si>
    <t>1012:</t>
  </si>
  <si>
    <t>1011:</t>
  </si>
  <si>
    <t>4001:</t>
  </si>
  <si>
    <t>4004:</t>
  </si>
  <si>
    <t>4005:</t>
  </si>
  <si>
    <t>4007:</t>
  </si>
  <si>
    <t>升级所需金币</t>
  </si>
  <si>
    <t>需要几把钥匙 0无</t>
  </si>
  <si>
    <t>0无、1有</t>
  </si>
  <si>
    <t>0：金币
1：点赞
2：顾客
3：上菜</t>
  </si>
  <si>
    <t>0：时间
1：人数</t>
  </si>
  <si>
    <t>0：浪费
1：流失
2：烧焦
3：无</t>
  </si>
  <si>
    <t>汉堡盘</t>
  </si>
  <si>
    <t>设备金币</t>
  </si>
  <si>
    <t>食材金币</t>
  </si>
  <si>
    <t>金币</t>
  </si>
  <si>
    <t>点赞</t>
  </si>
  <si>
    <t>顾客</t>
  </si>
  <si>
    <t>上菜</t>
  </si>
  <si>
    <t>通关时间</t>
  </si>
  <si>
    <t>期望产出金币</t>
  </si>
  <si>
    <t>顾客最大需求</t>
  </si>
  <si>
    <t>必须产出金币</t>
  </si>
  <si>
    <t>食材总数</t>
  </si>
  <si>
    <t>同屏人数</t>
  </si>
  <si>
    <t>顾客等待时间</t>
  </si>
  <si>
    <t>食物出现规则</t>
  </si>
  <si>
    <t>顾客时间</t>
  </si>
  <si>
    <t>新手引导</t>
  </si>
  <si>
    <t>4001,1012,4001</t>
  </si>
  <si>
    <t>1012,4001,4001</t>
  </si>
  <si>
    <t>引导进入</t>
  </si>
  <si>
    <t>引导升级</t>
  </si>
  <si>
    <t>4001,1012,4005,1012,4005</t>
  </si>
  <si>
    <t>4001,1012,4005,1012,4001,4005,4001</t>
  </si>
  <si>
    <t>4005,1012,4001,1012,4005</t>
  </si>
  <si>
    <t>4005,4001,1012,4001,4005,1012,4001</t>
  </si>
  <si>
    <t>1012,4005,4004,4001,1012,4007,4004,4004</t>
  </si>
  <si>
    <t>4007,4004,4001,1012,4005,1012,4001,4004,4004,4001</t>
  </si>
  <si>
    <t>首次失败，引导购买使用道具</t>
  </si>
  <si>
    <t>4001,4007,1012,4004,4005,1012,4004,4005</t>
  </si>
  <si>
    <t>4007,4001,4004,1012,4005,1012,4004,4001,4005,4001</t>
  </si>
  <si>
    <t>1011,4004,1012,4001,1011,4005,1012,4007,1012</t>
  </si>
  <si>
    <t>4007,4004,1011,1012,4001,1011,1012,4005,1011,4001,1012,4001</t>
  </si>
  <si>
    <t>1011,4004,4001,1012,4005,1011,4007,1012,1011,1012</t>
  </si>
  <si>
    <t>4005,4001,4001,1011,1012,1012,4004,4001,1011,4007,1012,1011</t>
  </si>
  <si>
    <t>4001,1011,1012,4005,1011,4004,1012,4007,1011,1012</t>
  </si>
  <si>
    <t>1011,4001,4004,1012,4001,4005,1011,1012,4007,1012,1011,4001</t>
  </si>
  <si>
    <t>4001,1011,1012,4004,1011,1012,4005,1011,1012,4007</t>
  </si>
  <si>
    <t>1011,1012,1012,4001,4005,1011,1012,4004,4007,4001,1011,4001</t>
  </si>
  <si>
    <t>4005,1012,4001,1011,4004,1012,4005,1011,4007,4001,1011,1012,4004,1011,4007</t>
  </si>
  <si>
    <t>4004,4001,1011,1012,1012,4004,4005,4001,1011,1012,4007,4005,4001,1011,4001,1011,4007</t>
  </si>
  <si>
    <t>4001,1011,4004,1012,4005,1011,1012,4007,1012,1011,4001,4004,1011,4005,4007</t>
  </si>
  <si>
    <t>4001,4007,4005,4004,1011,1012,1011,1012,4001,4004,4005,4001,1011,1012,4001,1011,4007</t>
  </si>
  <si>
    <t>4004,4005,1011,1012,4001,4004,1011,4007,1012,4001,1011,4005,1012,4007,1011,1012</t>
  </si>
  <si>
    <t>4004,4001,1011,4001,1012,4004,4005,4007,1011,1012,1011,4001,1012,1011,4007,4001,4005,1012</t>
  </si>
  <si>
    <t>4007,1011,4001,1012,4004,1011,4005,1012,4004,1012,4007,1011,4001,1011,1012,4005</t>
  </si>
  <si>
    <t>1011,1011,4001,4001,4004,4004,1012,1012,4005,4005,1011,1011,1012,1012,4001,4001,4007,4007</t>
  </si>
  <si>
    <t xml:space="preserve"> </t>
  </si>
  <si>
    <t>游戏目标值</t>
  </si>
  <si>
    <t>编辑器用到</t>
  </si>
  <si>
    <t>分配总金额</t>
  </si>
  <si>
    <t>应获取金额</t>
  </si>
  <si>
    <t>分配系数</t>
  </si>
  <si>
    <t>1星获取金</t>
  </si>
  <si>
    <t>2星获取金</t>
  </si>
  <si>
    <t>3星获取金</t>
  </si>
  <si>
    <t>4001,1012,4005,1012,4005,4001,4001</t>
  </si>
  <si>
    <t>4005,4001,1012,1012,4005,1012,4001,4001</t>
  </si>
  <si>
    <t>4005,4001,1012,4007,4004,4004,1012,1012,4001,4001</t>
  </si>
  <si>
    <t>4005,4001,1012,4007,4004,1012,4005,4004,4001,1012,4001</t>
  </si>
  <si>
    <t>4007,4005,1011,1012,1011,4004,1011,1012,1012,1012,4007,4001,4001,4001,4001</t>
  </si>
  <si>
    <t>4001,1011,1012,4004,1012,4005,1011,4007,1011,1012,1012,4001,4007,4001,4001</t>
  </si>
  <si>
    <t>1011,4001,1012,4004,1012,1011,4005,1011,4007,1012,4007,4004,1012,4001,4001,4007,4001</t>
  </si>
  <si>
    <t>1011,4001,1012,4004,1011,4007,1012,4005,1012,1011,1012,4001,1012,4007,4001,4001,4007</t>
  </si>
  <si>
    <t>4001,4004,4007,1011,1012,4004,1011,4001,1012,1011,4005,1011,4007,1012,4005</t>
  </si>
  <si>
    <t>4004,4001,1011,1012,4001,4005,4007,1011,1012,4004,1011,4005,1011,1012,4007</t>
  </si>
  <si>
    <t>1011,4001,4004,1012,4001,4004,4005,1011,1012,4005,1012,4007,1011,1012,4007,1011</t>
  </si>
  <si>
    <t>4005,4005,4001,1011,1012,4001,4004,1011,1012,4004,1012,1011,4007,1011,4007,1012</t>
  </si>
  <si>
    <t>组级</t>
  </si>
  <si>
    <t>编辑器代表ID</t>
  </si>
  <si>
    <t>类型</t>
  </si>
  <si>
    <t>时间</t>
  </si>
  <si>
    <t>新解锁食材影响金币产出10-20</t>
  </si>
  <si>
    <t>会降低游戏难度</t>
  </si>
  <si>
    <t>组1 组2 组3 不能重复
必须包含一个组1、一个组2</t>
  </si>
  <si>
    <t>不影响游戏难度</t>
  </si>
  <si>
    <t>praise:</t>
  </si>
  <si>
    <t>role:</t>
  </si>
  <si>
    <t>人数</t>
  </si>
  <si>
    <t>dish:</t>
  </si>
  <si>
    <t>不影响游戏产出</t>
  </si>
  <si>
    <t>customer:</t>
  </si>
  <si>
    <t>浪费</t>
  </si>
  <si>
    <t>wash:0</t>
  </si>
  <si>
    <t>流失</t>
  </si>
  <si>
    <t>go:0</t>
  </si>
  <si>
    <t>烧焦</t>
  </si>
  <si>
    <t>char:0</t>
  </si>
  <si>
    <t>无</t>
  </si>
  <si>
    <t>期望金币</t>
  </si>
  <si>
    <t>gold:20;</t>
  </si>
  <si>
    <t>最大需求数</t>
  </si>
  <si>
    <t>maxdemand:2</t>
  </si>
  <si>
    <t>foodcount:13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</si>
</sst>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40">
    <font>
      <sz val="12"/>
      <name val="宋体"/>
      <charset val="134"/>
    </font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9"/>
      <color theme="1"/>
      <name val="宋体"/>
      <charset val="134"/>
      <scheme val="minor"/>
    </font>
    <font>
      <sz val="9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theme="1"/>
      <name val="微软雅黑"/>
      <charset val="134"/>
    </font>
    <font>
      <sz val="11"/>
      <color theme="1"/>
      <name val="微软雅黑"/>
      <charset val="134"/>
    </font>
    <font>
      <sz val="10"/>
      <name val="宋体"/>
      <charset val="134"/>
    </font>
    <font>
      <b/>
      <sz val="16"/>
      <color theme="1"/>
      <name val="宋体"/>
      <charset val="134"/>
      <scheme val="minor"/>
    </font>
    <font>
      <sz val="9"/>
      <color theme="1"/>
      <name val="微软雅黑"/>
      <charset val="134"/>
    </font>
    <font>
      <b/>
      <sz val="12"/>
      <name val="宋体"/>
      <charset val="134"/>
    </font>
    <font>
      <b/>
      <sz val="9"/>
      <color theme="1"/>
      <name val="微软雅黑"/>
      <charset val="134"/>
    </font>
    <font>
      <sz val="12"/>
      <color theme="1" tint="0.149906918546098"/>
      <name val="宋体"/>
      <charset val="134"/>
    </font>
    <font>
      <sz val="11"/>
      <name val="宋体"/>
      <charset val="134"/>
      <scheme val="minor"/>
    </font>
    <font>
      <sz val="12"/>
      <color theme="1" tint="0.149571214941862"/>
      <name val="宋体"/>
      <charset val="134"/>
    </font>
    <font>
      <sz val="11"/>
      <color rgb="FF000000"/>
      <name val="宋体"/>
      <charset val="134"/>
    </font>
    <font>
      <sz val="11"/>
      <color theme="1"/>
      <name val="Arial"/>
      <charset val="134"/>
    </font>
    <font>
      <sz val="12"/>
      <color theme="1" tint="0.5"/>
      <name val="宋体"/>
      <charset val="134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5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rgb="FFFF00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2"/>
      <color rgb="FFFF0000"/>
      <name val="宋体"/>
      <charset val="134"/>
    </font>
    <font>
      <sz val="9"/>
      <name val="宋体"/>
      <charset val="134"/>
    </font>
  </fonts>
  <fills count="49">
    <fill>
      <patternFill patternType="none"/>
    </fill>
    <fill>
      <patternFill patternType="gray125"/>
    </fill>
    <fill>
      <patternFill patternType="solid">
        <fgColor theme="4" tint="0.8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8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3" tint="0.8"/>
        <bgColor indexed="64"/>
      </patternFill>
    </fill>
    <fill>
      <patternFill patternType="solid">
        <fgColor theme="4" tint="0.79989013336588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55442976165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0.5"/>
        <bgColor rgb="FF000000"/>
      </patternFill>
    </fill>
    <fill>
      <patternFill patternType="solid">
        <fgColor theme="1" tint="0.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-0.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0">
    <xf numFmtId="0" fontId="0" fillId="0" borderId="0">
      <alignment vertical="center"/>
    </xf>
    <xf numFmtId="42" fontId="1" fillId="0" borderId="0" applyFont="0" applyFill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24" fillId="21" borderId="21" applyNumberFormat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" fillId="20" borderId="20" applyNumberFormat="0" applyFont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22" applyNumberFormat="0" applyFill="0" applyAlignment="0" applyProtection="0">
      <alignment vertical="center"/>
    </xf>
    <xf numFmtId="0" fontId="25" fillId="0" borderId="22" applyNumberFormat="0" applyFill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2" fillId="0" borderId="18" applyNumberFormat="0" applyFill="0" applyAlignment="0" applyProtection="0">
      <alignment vertical="center"/>
    </xf>
    <xf numFmtId="0" fontId="26" fillId="34" borderId="0" applyNumberFormat="0" applyBorder="0" applyAlignment="0" applyProtection="0">
      <alignment vertical="center"/>
    </xf>
    <xf numFmtId="0" fontId="35" fillId="32" borderId="23" applyNumberFormat="0" applyAlignment="0" applyProtection="0">
      <alignment vertical="center"/>
    </xf>
    <xf numFmtId="0" fontId="34" fillId="32" borderId="21" applyNumberFormat="0" applyAlignment="0" applyProtection="0">
      <alignment vertical="center"/>
    </xf>
    <xf numFmtId="0" fontId="19" fillId="19" borderId="16" applyNumberFormat="0" applyAlignment="0" applyProtection="0">
      <alignment vertical="center"/>
    </xf>
    <xf numFmtId="0" fontId="28" fillId="38" borderId="0" applyNumberFormat="0" applyBorder="0" applyAlignment="0" applyProtection="0">
      <alignment vertical="center"/>
    </xf>
    <xf numFmtId="0" fontId="26" fillId="37" borderId="0" applyNumberFormat="0" applyBorder="0" applyAlignment="0" applyProtection="0">
      <alignment vertical="center"/>
    </xf>
    <xf numFmtId="0" fontId="23" fillId="0" borderId="19" applyNumberFormat="0" applyFill="0" applyAlignment="0" applyProtection="0">
      <alignment vertical="center"/>
    </xf>
    <xf numFmtId="0" fontId="20" fillId="0" borderId="17" applyNumberFormat="0" applyFill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37" fillId="41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8" fillId="40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3" borderId="0" applyNumberFormat="0" applyBorder="0" applyAlignment="0" applyProtection="0">
      <alignment vertical="center"/>
    </xf>
    <xf numFmtId="0" fontId="28" fillId="42" borderId="0" applyNumberFormat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28" fillId="36" borderId="0" applyNumberFormat="0" applyBorder="0" applyAlignment="0" applyProtection="0">
      <alignment vertical="center"/>
    </xf>
    <xf numFmtId="0" fontId="26" fillId="39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45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6" fillId="48" borderId="0" applyNumberFormat="0" applyBorder="0" applyAlignment="0" applyProtection="0">
      <alignment vertical="center"/>
    </xf>
    <xf numFmtId="49" fontId="0" fillId="0" borderId="0">
      <alignment vertical="center"/>
    </xf>
  </cellStyleXfs>
  <cellXfs count="232">
    <xf numFmtId="0" fontId="0" fillId="0" borderId="0" xfId="0">
      <alignment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1" fillId="0" borderId="4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vertical="center" wrapText="1"/>
    </xf>
    <xf numFmtId="0" fontId="1" fillId="0" borderId="5" xfId="0" applyFont="1" applyFill="1" applyBorder="1" applyAlignment="1">
      <alignment vertical="center" wrapText="1"/>
    </xf>
    <xf numFmtId="0" fontId="1" fillId="0" borderId="3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vertical="center"/>
    </xf>
    <xf numFmtId="0" fontId="1" fillId="0" borderId="6" xfId="0" applyFont="1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" fillId="0" borderId="8" xfId="0" applyFont="1" applyFill="1" applyBorder="1" applyAlignment="1">
      <alignment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vertical="center"/>
    </xf>
    <xf numFmtId="0" fontId="1" fillId="0" borderId="10" xfId="0" applyFont="1" applyFill="1" applyBorder="1" applyAlignment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1" fillId="2" borderId="2" xfId="0" applyFont="1" applyFill="1" applyBorder="1" applyAlignment="1">
      <alignment vertical="center" wrapText="1"/>
    </xf>
    <xf numFmtId="0" fontId="1" fillId="2" borderId="11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vertical="center" wrapText="1"/>
    </xf>
    <xf numFmtId="0" fontId="1" fillId="0" borderId="12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vertical="center" wrapText="1"/>
    </xf>
    <xf numFmtId="0" fontId="1" fillId="0" borderId="13" xfId="0" applyFont="1" applyFill="1" applyBorder="1" applyAlignment="1">
      <alignment horizontal="center" vertical="center"/>
    </xf>
    <xf numFmtId="0" fontId="1" fillId="0" borderId="14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2" fillId="0" borderId="2" xfId="0" applyFont="1" applyFill="1" applyBorder="1" applyAlignment="1">
      <alignment horizontal="center" vertical="center" wrapText="1"/>
    </xf>
    <xf numFmtId="0" fontId="2" fillId="0" borderId="15" xfId="0" applyFont="1" applyFill="1" applyBorder="1" applyAlignment="1">
      <alignment horizontal="center" vertical="center" wrapText="1"/>
    </xf>
    <xf numFmtId="0" fontId="2" fillId="0" borderId="11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1" fillId="0" borderId="15" xfId="0" applyFont="1" applyFill="1" applyBorder="1" applyAlignment="1">
      <alignment horizontal="center" vertical="center" wrapText="1"/>
    </xf>
    <xf numFmtId="0" fontId="1" fillId="0" borderId="1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justify"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horizontal="left" vertical="center"/>
    </xf>
    <xf numFmtId="0" fontId="3" fillId="2" borderId="12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justify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2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1" fillId="0" borderId="1" xfId="0" applyFont="1" applyFill="1" applyBorder="1" applyAlignment="1">
      <alignment horizontal="justify" vertical="center"/>
    </xf>
    <xf numFmtId="0" fontId="1" fillId="3" borderId="1" xfId="0" applyNumberFormat="1" applyFont="1" applyFill="1" applyBorder="1" applyAlignment="1">
      <alignment horizontal="fill" vertical="center"/>
    </xf>
    <xf numFmtId="0" fontId="1" fillId="3" borderId="1" xfId="0" applyFont="1" applyFill="1" applyBorder="1" applyAlignment="1">
      <alignment horizontal="fill" vertical="center"/>
    </xf>
    <xf numFmtId="0" fontId="1" fillId="0" borderId="0" xfId="0" applyNumberFormat="1" applyFont="1" applyFill="1" applyBorder="1" applyAlignment="1">
      <alignment horizontal="fill" vertical="center"/>
    </xf>
    <xf numFmtId="0" fontId="1" fillId="0" borderId="0" xfId="0" applyFont="1" applyFill="1" applyBorder="1" applyAlignment="1">
      <alignment horizontal="fill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7" fillId="2" borderId="12" xfId="0" applyFont="1" applyFill="1" applyBorder="1" applyAlignment="1">
      <alignment vertical="center" wrapText="1"/>
    </xf>
    <xf numFmtId="0" fontId="7" fillId="2" borderId="1" xfId="0" applyFont="1" applyFill="1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8" fillId="3" borderId="14" xfId="0" applyFont="1" applyFill="1" applyBorder="1" applyAlignment="1">
      <alignment horizontal="left" vertical="center" wrapText="1"/>
    </xf>
    <xf numFmtId="0" fontId="5" fillId="0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left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0" fillId="0" borderId="1" xfId="0" applyFill="1" applyBorder="1" applyAlignment="1">
      <alignment vertical="center"/>
    </xf>
    <xf numFmtId="0" fontId="7" fillId="0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vertical="center"/>
    </xf>
    <xf numFmtId="0" fontId="12" fillId="2" borderId="1" xfId="0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49" fontId="0" fillId="0" borderId="1" xfId="0" applyNumberFormat="1" applyFill="1" applyBorder="1" applyAlignment="1">
      <alignment vertical="center"/>
    </xf>
    <xf numFmtId="0" fontId="10" fillId="2" borderId="11" xfId="0" applyFont="1" applyFill="1" applyBorder="1" applyAlignment="1">
      <alignment horizontal="center" vertical="center" wrapText="1"/>
    </xf>
    <xf numFmtId="49" fontId="10" fillId="2" borderId="2" xfId="0" applyNumberFormat="1" applyFont="1" applyFill="1" applyBorder="1" applyAlignment="1">
      <alignment horizontal="center" vertical="center" wrapText="1"/>
    </xf>
    <xf numFmtId="0" fontId="12" fillId="2" borderId="11" xfId="0" applyFont="1" applyFill="1" applyBorder="1" applyAlignment="1">
      <alignment horizontal="center" vertical="center" wrapText="1"/>
    </xf>
    <xf numFmtId="49" fontId="0" fillId="4" borderId="1" xfId="0" applyNumberFormat="1" applyFill="1" applyBorder="1" applyAlignment="1">
      <alignment horizontal="justify" vertical="center"/>
    </xf>
    <xf numFmtId="0" fontId="7" fillId="0" borderId="1" xfId="0" applyNumberFormat="1" applyFont="1" applyFill="1" applyBorder="1" applyAlignment="1">
      <alignment horizontal="center" vertical="center"/>
    </xf>
    <xf numFmtId="49" fontId="5" fillId="2" borderId="11" xfId="0" applyNumberFormat="1" applyFont="1" applyFill="1" applyBorder="1" applyAlignment="1">
      <alignment horizontal="center" vertical="center" wrapText="1"/>
    </xf>
    <xf numFmtId="49" fontId="7" fillId="4" borderId="1" xfId="0" applyNumberFormat="1" applyFont="1" applyFill="1" applyBorder="1" applyAlignment="1">
      <alignment horizontal="justify" vertical="center" wrapText="1"/>
    </xf>
    <xf numFmtId="0" fontId="8" fillId="7" borderId="1" xfId="0" applyFont="1" applyFill="1" applyBorder="1" applyAlignment="1">
      <alignment horizontal="center" vertical="center" wrapText="1"/>
    </xf>
    <xf numFmtId="49" fontId="5" fillId="2" borderId="11" xfId="0" applyNumberFormat="1" applyFont="1" applyFill="1" applyBorder="1" applyAlignment="1">
      <alignment horizontal="left" vertical="center" wrapText="1"/>
    </xf>
    <xf numFmtId="49" fontId="10" fillId="2" borderId="2" xfId="0" applyNumberFormat="1" applyFont="1" applyFill="1" applyBorder="1" applyAlignment="1">
      <alignment horizontal="left" vertical="center" wrapText="1"/>
    </xf>
    <xf numFmtId="49" fontId="7" fillId="4" borderId="1" xfId="0" applyNumberFormat="1" applyFont="1" applyFill="1" applyBorder="1" applyAlignment="1">
      <alignment horizontal="left" vertical="center" wrapText="1"/>
    </xf>
    <xf numFmtId="0" fontId="5" fillId="8" borderId="7" xfId="0" applyFont="1" applyFill="1" applyBorder="1" applyAlignment="1">
      <alignment horizontal="center" vertical="center" wrapText="1"/>
    </xf>
    <xf numFmtId="0" fontId="5" fillId="8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8" borderId="14" xfId="0" applyFont="1" applyFill="1" applyBorder="1" applyAlignment="1">
      <alignment horizontal="center" vertical="center" wrapText="1"/>
    </xf>
    <xf numFmtId="0" fontId="5" fillId="8" borderId="1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9" xfId="0" applyFont="1" applyFill="1" applyBorder="1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5" fillId="8" borderId="2" xfId="0" applyFont="1" applyFill="1" applyBorder="1" applyAlignment="1">
      <alignment horizontal="center" vertical="center" wrapText="1"/>
    </xf>
    <xf numFmtId="0" fontId="5" fillId="8" borderId="15" xfId="0" applyFont="1" applyFill="1" applyBorder="1" applyAlignment="1">
      <alignment horizontal="center" vertical="center" wrapText="1"/>
    </xf>
    <xf numFmtId="0" fontId="0" fillId="0" borderId="2" xfId="0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15" xfId="0" applyBorder="1">
      <alignment vertical="center"/>
    </xf>
    <xf numFmtId="0" fontId="5" fillId="8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4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4" xfId="0" applyBorder="1" applyAlignment="1">
      <alignment horizontal="left" vertical="top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5" fillId="8" borderId="11" xfId="0" applyFont="1" applyFill="1" applyBorder="1" applyAlignment="1">
      <alignment horizontal="center" vertical="center" wrapText="1"/>
    </xf>
    <xf numFmtId="0" fontId="13" fillId="9" borderId="1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0" fillId="10" borderId="0" xfId="0" applyFill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>
      <alignment vertical="center" wrapText="1"/>
    </xf>
    <xf numFmtId="0" fontId="0" fillId="0" borderId="0" xfId="0" applyFont="1" applyFill="1" applyAlignment="1">
      <alignment horizontal="center" vertical="center" wrapText="1"/>
    </xf>
    <xf numFmtId="0" fontId="0" fillId="0" borderId="0" xfId="0" applyFont="1" applyFill="1" applyAlignment="1">
      <alignment horizontal="left" vertical="center" wrapText="1"/>
    </xf>
    <xf numFmtId="49" fontId="0" fillId="0" borderId="0" xfId="0" applyNumberFormat="1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1" xfId="0" applyFon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horizontal="left" vertical="center" wrapText="1"/>
    </xf>
    <xf numFmtId="49" fontId="0" fillId="0" borderId="1" xfId="0" applyNumberFormat="1" applyFont="1" applyFill="1" applyBorder="1" applyAlignment="1">
      <alignment horizontal="center" vertical="center" wrapText="1"/>
    </xf>
    <xf numFmtId="0" fontId="0" fillId="0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>
      <alignment horizontal="left" vertical="top" wrapText="1"/>
    </xf>
    <xf numFmtId="49" fontId="0" fillId="0" borderId="1" xfId="0" applyNumberFormat="1" applyFont="1" applyFill="1" applyBorder="1" applyAlignment="1">
      <alignment horizontal="center" vertical="top" wrapText="1"/>
    </xf>
    <xf numFmtId="0" fontId="0" fillId="0" borderId="0" xfId="0" applyFont="1" applyFill="1" applyBorder="1" applyAlignment="1">
      <alignment horizontal="center" vertical="top" wrapText="1"/>
    </xf>
    <xf numFmtId="0" fontId="14" fillId="0" borderId="0" xfId="0" applyFont="1" applyFill="1" applyAlignment="1">
      <alignment horizontal="center" vertical="center" wrapText="1"/>
    </xf>
    <xf numFmtId="0" fontId="14" fillId="0" borderId="0" xfId="0" applyFont="1" applyFill="1" applyAlignment="1">
      <alignment horizontal="left" vertical="center" wrapText="1"/>
    </xf>
    <xf numFmtId="49" fontId="0" fillId="0" borderId="0" xfId="0" applyNumberFormat="1" applyFont="1" applyFill="1" applyAlignment="1">
      <alignment horizontal="center" vertical="center" wrapText="1"/>
    </xf>
    <xf numFmtId="3" fontId="0" fillId="0" borderId="0" xfId="0" applyNumberFormat="1" applyFont="1" applyFill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0" xfId="0" applyFill="1">
      <alignment vertical="center"/>
    </xf>
    <xf numFmtId="0" fontId="15" fillId="0" borderId="1" xfId="0" applyFont="1" applyFill="1" applyBorder="1" applyAlignment="1">
      <alignment horizontal="center" vertical="center" wrapText="1"/>
    </xf>
    <xf numFmtId="0" fontId="15" fillId="0" borderId="12" xfId="0" applyFont="1" applyFill="1" applyBorder="1" applyAlignment="1">
      <alignment horizontal="center" vertical="center" wrapText="1"/>
    </xf>
    <xf numFmtId="0" fontId="0" fillId="11" borderId="0" xfId="0" applyFill="1">
      <alignment vertical="center"/>
    </xf>
    <xf numFmtId="0" fontId="0" fillId="0" borderId="0" xfId="0" applyFont="1" applyFill="1" applyAlignment="1">
      <alignment vertical="center" wrapText="1"/>
    </xf>
    <xf numFmtId="0" fontId="0" fillId="0" borderId="0" xfId="0" applyFont="1" applyFill="1">
      <alignment vertical="center"/>
    </xf>
    <xf numFmtId="0" fontId="0" fillId="0" borderId="0" xfId="0" applyFont="1" applyBorder="1" applyAlignment="1">
      <alignment horizontal="left" vertical="center"/>
    </xf>
    <xf numFmtId="0" fontId="15" fillId="12" borderId="1" xfId="0" applyFont="1" applyFill="1" applyBorder="1" applyAlignment="1" applyProtection="1">
      <alignment horizontal="center" vertical="top" wrapText="1"/>
      <protection locked="0"/>
    </xf>
    <xf numFmtId="0" fontId="15" fillId="12" borderId="1" xfId="0" applyFont="1" applyFill="1" applyBorder="1" applyAlignment="1">
      <alignment horizontal="center" vertical="top" wrapText="1"/>
    </xf>
    <xf numFmtId="0" fontId="15" fillId="13" borderId="1" xfId="0" applyFont="1" applyFill="1" applyBorder="1" applyAlignment="1">
      <alignment horizontal="center" vertical="top" wrapText="1"/>
    </xf>
    <xf numFmtId="0" fontId="1" fillId="0" borderId="0" xfId="0" applyFont="1" applyFill="1" applyAlignment="1" applyProtection="1">
      <alignment horizontal="center" vertical="top" wrapText="1"/>
      <protection locked="0"/>
    </xf>
    <xf numFmtId="0" fontId="0" fillId="0" borderId="0" xfId="0" applyAlignment="1">
      <alignment horizontal="center" vertical="top"/>
    </xf>
    <xf numFmtId="0" fontId="0" fillId="13" borderId="0" xfId="0" applyFill="1" applyAlignment="1">
      <alignment horizontal="center" vertical="top"/>
    </xf>
    <xf numFmtId="0" fontId="16" fillId="14" borderId="0" xfId="0" applyFont="1" applyFill="1" applyBorder="1" applyAlignment="1" applyProtection="1">
      <alignment horizontal="left" vertical="top" wrapText="1"/>
      <protection locked="0"/>
    </xf>
    <xf numFmtId="0" fontId="0" fillId="14" borderId="0" xfId="0" applyFont="1" applyFill="1" applyBorder="1" applyAlignment="1">
      <alignment horizontal="left" vertical="top"/>
    </xf>
    <xf numFmtId="49" fontId="17" fillId="11" borderId="0" xfId="0" applyNumberFormat="1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/>
    </xf>
    <xf numFmtId="0" fontId="0" fillId="0" borderId="0" xfId="0" applyFont="1" applyFill="1" applyBorder="1" applyAlignment="1">
      <alignment horizontal="left" vertical="top" wrapText="1"/>
    </xf>
    <xf numFmtId="0" fontId="16" fillId="15" borderId="0" xfId="0" applyFont="1" applyFill="1" applyBorder="1" applyAlignment="1" applyProtection="1">
      <alignment horizontal="center" vertical="top" wrapText="1"/>
      <protection locked="0"/>
    </xf>
    <xf numFmtId="0" fontId="0" fillId="15" borderId="0" xfId="0" applyFont="1" applyFill="1" applyBorder="1" applyAlignment="1">
      <alignment horizontal="left" vertical="top"/>
    </xf>
    <xf numFmtId="49" fontId="17" fillId="0" borderId="0" xfId="0" applyNumberFormat="1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8" fillId="0" borderId="0" xfId="0" applyFont="1" applyFill="1" applyBorder="1" applyAlignment="1">
      <alignment horizontal="left" vertical="top" wrapText="1"/>
    </xf>
    <xf numFmtId="0" fontId="15" fillId="12" borderId="7" xfId="0" applyFont="1" applyFill="1" applyBorder="1" applyAlignment="1" applyProtection="1">
      <alignment horizontal="center" vertical="top" wrapText="1"/>
      <protection locked="0"/>
    </xf>
    <xf numFmtId="0" fontId="0" fillId="0" borderId="0" xfId="0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0" fillId="11" borderId="0" xfId="0" applyFont="1" applyFill="1" applyBorder="1" applyAlignment="1">
      <alignment horizontal="left" vertical="top"/>
    </xf>
    <xf numFmtId="0" fontId="0" fillId="16" borderId="0" xfId="0" applyFont="1" applyFill="1" applyBorder="1" applyAlignment="1">
      <alignment horizontal="left" vertical="center"/>
    </xf>
    <xf numFmtId="0" fontId="0" fillId="16" borderId="0" xfId="0" applyFont="1" applyFill="1" applyBorder="1" applyAlignment="1">
      <alignment horizontal="left" vertical="top"/>
    </xf>
    <xf numFmtId="0" fontId="0" fillId="15" borderId="0" xfId="0" applyFont="1" applyFill="1" applyBorder="1" applyAlignment="1">
      <alignment horizontal="right" vertical="top"/>
    </xf>
    <xf numFmtId="0" fontId="15" fillId="12" borderId="1" xfId="0" applyFont="1" applyFill="1" applyBorder="1" applyAlignment="1" applyProtection="1">
      <alignment horizontal="center" vertical="center" wrapText="1"/>
      <protection locked="0"/>
    </xf>
    <xf numFmtId="0" fontId="0" fillId="10" borderId="0" xfId="0" applyFill="1" applyAlignment="1" applyProtection="1">
      <alignment horizontal="center" vertical="center" wrapText="1"/>
      <protection locked="0"/>
    </xf>
    <xf numFmtId="0" fontId="15" fillId="12" borderId="1" xfId="0" applyFont="1" applyFill="1" applyBorder="1" applyAlignment="1">
      <alignment horizontal="center" vertical="center" wrapText="1"/>
    </xf>
    <xf numFmtId="0" fontId="15" fillId="12" borderId="13" xfId="0" applyFont="1" applyFill="1" applyBorder="1" applyAlignment="1" applyProtection="1">
      <alignment horizontal="center" vertical="center" wrapText="1"/>
      <protection locked="0"/>
    </xf>
    <xf numFmtId="0" fontId="15" fillId="12" borderId="7" xfId="0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Alignment="1">
      <alignment horizontal="center" vertical="center"/>
    </xf>
    <xf numFmtId="0" fontId="0" fillId="11" borderId="0" xfId="0" applyFill="1" applyAlignment="1" applyProtection="1">
      <alignment horizontal="center" vertical="center" wrapText="1"/>
      <protection locked="0"/>
    </xf>
    <xf numFmtId="0" fontId="0" fillId="0" borderId="0" xfId="0" applyFont="1" applyFill="1" applyAlignment="1">
      <alignment horizontal="left" vertical="top" wrapText="1"/>
    </xf>
    <xf numFmtId="0" fontId="0" fillId="10" borderId="0" xfId="0" applyFill="1" applyAlignment="1">
      <alignment horizontal="center" vertical="center" wrapText="1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2" borderId="1" xfId="0" applyFont="1" applyFill="1" applyBorder="1" applyAlignment="1">
      <alignment horizontal="center" vertical="center" wrapText="1"/>
    </xf>
    <xf numFmtId="0" fontId="0" fillId="0" borderId="0" xfId="0" applyNumberFormat="1" applyAlignment="1">
      <alignment horizontal="justify" vertical="center" wrapText="1"/>
    </xf>
    <xf numFmtId="0" fontId="0" fillId="0" borderId="0" xfId="0" applyNumberFormat="1" applyAlignment="1">
      <alignment vertical="center" wrapText="1"/>
    </xf>
    <xf numFmtId="0" fontId="0" fillId="0" borderId="2" xfId="0" applyNumberFormat="1" applyFont="1" applyFill="1" applyBorder="1" applyAlignment="1">
      <alignment vertical="center" wrapText="1"/>
    </xf>
    <xf numFmtId="0" fontId="0" fillId="0" borderId="15" xfId="0" applyNumberFormat="1" applyFont="1" applyFill="1" applyBorder="1" applyAlignment="1">
      <alignment vertical="center" wrapText="1"/>
    </xf>
    <xf numFmtId="0" fontId="0" fillId="0" borderId="11" xfId="0" applyNumberFormat="1" applyFont="1" applyFill="1" applyBorder="1" applyAlignment="1">
      <alignment vertical="center" wrapText="1"/>
    </xf>
    <xf numFmtId="0" fontId="0" fillId="0" borderId="12" xfId="0" applyFont="1" applyFill="1" applyBorder="1" applyAlignment="1">
      <alignment horizontal="center" vertical="top" wrapText="1"/>
    </xf>
    <xf numFmtId="0" fontId="0" fillId="0" borderId="12" xfId="0" applyFont="1" applyFill="1" applyBorder="1" applyAlignment="1">
      <alignment horizontal="center" vertical="center" wrapText="1"/>
    </xf>
    <xf numFmtId="0" fontId="0" fillId="0" borderId="12" xfId="0" applyNumberFormat="1" applyFont="1" applyFill="1" applyBorder="1" applyAlignment="1">
      <alignment horizontal="justify" vertical="center" wrapText="1"/>
    </xf>
    <xf numFmtId="0" fontId="0" fillId="0" borderId="12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top" wrapTex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1" xfId="0" applyNumberFormat="1" applyFont="1" applyFill="1" applyBorder="1" applyAlignment="1">
      <alignment horizontal="justify" vertical="center" wrapText="1"/>
    </xf>
    <xf numFmtId="0" fontId="14" fillId="2" borderId="1" xfId="0" applyNumberFormat="1" applyFont="1" applyFill="1" applyBorder="1" applyAlignment="1">
      <alignment horizontal="center" vertical="center" wrapText="1"/>
    </xf>
    <xf numFmtId="0" fontId="0" fillId="2" borderId="1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vertical="center" wrapText="1"/>
    </xf>
    <xf numFmtId="0" fontId="0" fillId="0" borderId="0" xfId="0" applyNumberFormat="1" applyFill="1" applyBorder="1" applyAlignment="1">
      <alignment horizontal="justify" vertical="center"/>
    </xf>
    <xf numFmtId="0" fontId="0" fillId="0" borderId="0" xfId="0" applyNumberFormat="1" applyFill="1" applyBorder="1" applyAlignment="1">
      <alignment vertical="center"/>
    </xf>
    <xf numFmtId="0" fontId="0" fillId="0" borderId="1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Alignment="1">
      <alignment horizontal="center" vertical="center" wrapText="1"/>
    </xf>
    <xf numFmtId="0" fontId="0" fillId="0" borderId="12" xfId="0" applyNumberFormat="1" applyFont="1" applyFill="1" applyBorder="1" applyAlignment="1">
      <alignment horizontal="center" vertical="top" wrapText="1"/>
    </xf>
    <xf numFmtId="0" fontId="0" fillId="11" borderId="0" xfId="0" applyNumberFormat="1" applyFont="1" applyFill="1" applyBorder="1" applyAlignment="1">
      <alignment horizontal="center" vertical="top" wrapText="1"/>
    </xf>
    <xf numFmtId="0" fontId="0" fillId="11" borderId="0" xfId="0" applyNumberFormat="1" applyFont="1" applyFill="1" applyAlignment="1">
      <alignment horizontal="center" vertical="top" wrapText="1"/>
    </xf>
    <xf numFmtId="0" fontId="0" fillId="0" borderId="0" xfId="0" applyNumberFormat="1" applyFont="1" applyFill="1" applyAlignment="1">
      <alignment horizontal="center" vertical="top" wrapText="1"/>
    </xf>
    <xf numFmtId="0" fontId="0" fillId="0" borderId="0" xfId="0" applyNumberFormat="1" applyFont="1" applyFill="1" applyAlignment="1">
      <alignment horizontal="left" vertical="center" wrapTex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样式 1" xfId="49"/>
  </cellStyles>
  <dxfs count="7">
    <dxf>
      <fill>
        <patternFill patternType="solid">
          <bgColor theme="9"/>
        </patternFill>
      </fill>
    </dxf>
    <dxf>
      <fill>
        <patternFill patternType="solid">
          <bgColor theme="7" tint="0.6"/>
        </patternFill>
      </fill>
    </dxf>
    <dxf>
      <fill>
        <patternFill patternType="solid">
          <bgColor theme="6" tint="0.6"/>
        </patternFill>
      </fill>
    </dxf>
    <dxf>
      <font>
        <color rgb="FFFF0000"/>
      </font>
    </dxf>
    <dxf>
      <fill>
        <patternFill patternType="solid">
          <bgColor rgb="FF0070C0"/>
        </patternFill>
      </fill>
    </dxf>
    <dxf>
      <fill>
        <patternFill patternType="solid">
          <bgColor theme="7" tint="0.8"/>
        </patternFill>
      </fill>
    </dxf>
    <dxf>
      <fill>
        <patternFill patternType="solid">
          <bgColor rgb="FFC00000"/>
        </patternFill>
      </fill>
    </dxf>
  </dxfs>
  <tableStyles count="0" defaultTableStyle="TableStyleMedium2"/>
  <colors>
    <mruColors>
      <color rgb="009325AB"/>
      <color rgb="00FF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drawings/_rels/drawing2.xml.rels><?xml version="1.0" encoding="UTF-8" standalone="yes"?>
<Relationships xmlns="http://schemas.openxmlformats.org/package/2006/relationships"><Relationship Id="rId9" Type="http://schemas.openxmlformats.org/officeDocument/2006/relationships/image" Target="../media/image9.png"/><Relationship Id="rId8" Type="http://schemas.openxmlformats.org/officeDocument/2006/relationships/image" Target="../media/image8.png"/><Relationship Id="rId7" Type="http://schemas.openxmlformats.org/officeDocument/2006/relationships/image" Target="../media/image7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7" Type="http://schemas.openxmlformats.org/officeDocument/2006/relationships/image" Target="../media/image17.png"/><Relationship Id="rId16" Type="http://schemas.openxmlformats.org/officeDocument/2006/relationships/image" Target="../media/image16.png"/><Relationship Id="rId15" Type="http://schemas.openxmlformats.org/officeDocument/2006/relationships/image" Target="../media/image15.png"/><Relationship Id="rId14" Type="http://schemas.openxmlformats.org/officeDocument/2006/relationships/image" Target="../media/image14.png"/><Relationship Id="rId13" Type="http://schemas.openxmlformats.org/officeDocument/2006/relationships/image" Target="../media/image13.png"/><Relationship Id="rId12" Type="http://schemas.openxmlformats.org/officeDocument/2006/relationships/image" Target="../media/image12.png"/><Relationship Id="rId11" Type="http://schemas.openxmlformats.org/officeDocument/2006/relationships/image" Target="../media/image11.png"/><Relationship Id="rId10" Type="http://schemas.openxmlformats.org/officeDocument/2006/relationships/image" Target="../media/image10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23.png"/><Relationship Id="rId5" Type="http://schemas.openxmlformats.org/officeDocument/2006/relationships/image" Target="../media/image22.png"/><Relationship Id="rId4" Type="http://schemas.openxmlformats.org/officeDocument/2006/relationships/image" Target="../media/image21.png"/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5</xdr:col>
      <xdr:colOff>0</xdr:colOff>
      <xdr:row>2</xdr:row>
      <xdr:rowOff>0</xdr:rowOff>
    </xdr:from>
    <xdr:to>
      <xdr:col>5</xdr:col>
      <xdr:colOff>304800</xdr:colOff>
      <xdr:row>3</xdr:row>
      <xdr:rowOff>123825</xdr:rowOff>
    </xdr:to>
    <xdr:sp>
      <xdr:nvSpPr>
        <xdr:cNvPr id="6145" name="AutoShape 1" descr="C:\Users\Administrator\Documents\Tencent Files\843599678\Image\C2C\3(XEIQFZMLNN$H(C4L8D1K3.png"/>
        <xdr:cNvSpPr>
          <a:spLocks noChangeAspect="1" noChangeArrowheads="1"/>
        </xdr:cNvSpPr>
      </xdr:nvSpPr>
      <xdr:spPr>
        <a:xfrm>
          <a:off x="8830945" y="1793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304800</xdr:colOff>
      <xdr:row>7</xdr:row>
      <xdr:rowOff>291540</xdr:rowOff>
    </xdr:to>
    <xdr:sp>
      <xdr:nvSpPr>
        <xdr:cNvPr id="3" name="AutoShape 1" descr="C:\Users\Administrator\Documents\Tencent Files\843599678\Image\C2C\3(XEIQFZMLNN$H(C4L8D1K3.png"/>
        <xdr:cNvSpPr>
          <a:spLocks noChangeAspect="1" noChangeArrowheads="1"/>
        </xdr:cNvSpPr>
      </xdr:nvSpPr>
      <xdr:spPr>
        <a:xfrm>
          <a:off x="8830945" y="7302500"/>
          <a:ext cx="304800" cy="2914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304800</xdr:colOff>
      <xdr:row>3</xdr:row>
      <xdr:rowOff>304800</xdr:rowOff>
    </xdr:to>
    <xdr:sp>
      <xdr:nvSpPr>
        <xdr:cNvPr id="2" name="AutoShape 1" descr="C:\Users\Administrator\Documents\Tencent Files\843599678\Image\C2C\3(XEIQFZMLNN$H(C4L8D1K3.png"/>
        <xdr:cNvSpPr>
          <a:spLocks noChangeAspect="1" noChangeArrowheads="1"/>
        </xdr:cNvSpPr>
      </xdr:nvSpPr>
      <xdr:spPr>
        <a:xfrm>
          <a:off x="8830945" y="197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</xdr:row>
      <xdr:rowOff>0</xdr:rowOff>
    </xdr:from>
    <xdr:to>
      <xdr:col>5</xdr:col>
      <xdr:colOff>304800</xdr:colOff>
      <xdr:row>4</xdr:row>
      <xdr:rowOff>304800</xdr:rowOff>
    </xdr:to>
    <xdr:sp>
      <xdr:nvSpPr>
        <xdr:cNvPr id="4" name="AutoShape 1" descr="C:\Users\Administrator\Documents\Tencent Files\843599678\Image\C2C\3(XEIQFZMLNN$H(C4L8D1K3.png"/>
        <xdr:cNvSpPr>
          <a:spLocks noChangeAspect="1" noChangeArrowheads="1"/>
        </xdr:cNvSpPr>
      </xdr:nvSpPr>
      <xdr:spPr>
        <a:xfrm>
          <a:off x="8830945" y="36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</xdr:row>
      <xdr:rowOff>0</xdr:rowOff>
    </xdr:from>
    <xdr:to>
      <xdr:col>5</xdr:col>
      <xdr:colOff>304800</xdr:colOff>
      <xdr:row>5</xdr:row>
      <xdr:rowOff>304800</xdr:rowOff>
    </xdr:to>
    <xdr:sp>
      <xdr:nvSpPr>
        <xdr:cNvPr id="5" name="AutoShape 1" descr="C:\Users\Administrator\Documents\Tencent Files\843599678\Image\C2C\3(XEIQFZMLNN$H(C4L8D1K3.png"/>
        <xdr:cNvSpPr>
          <a:spLocks noChangeAspect="1" noChangeArrowheads="1"/>
        </xdr:cNvSpPr>
      </xdr:nvSpPr>
      <xdr:spPr>
        <a:xfrm>
          <a:off x="8830945" y="523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</xdr:row>
      <xdr:rowOff>0</xdr:rowOff>
    </xdr:from>
    <xdr:to>
      <xdr:col>5</xdr:col>
      <xdr:colOff>304800</xdr:colOff>
      <xdr:row>5</xdr:row>
      <xdr:rowOff>304800</xdr:rowOff>
    </xdr:to>
    <xdr:sp>
      <xdr:nvSpPr>
        <xdr:cNvPr id="6" name="AutoShape 1" descr="C:\Users\Administrator\Documents\Tencent Files\843599678\Image\C2C\3(XEIQFZMLNN$H(C4L8D1K3.png"/>
        <xdr:cNvSpPr>
          <a:spLocks noChangeAspect="1" noChangeArrowheads="1"/>
        </xdr:cNvSpPr>
      </xdr:nvSpPr>
      <xdr:spPr>
        <a:xfrm>
          <a:off x="8830945" y="523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</xdr:row>
      <xdr:rowOff>0</xdr:rowOff>
    </xdr:from>
    <xdr:to>
      <xdr:col>5</xdr:col>
      <xdr:colOff>304800</xdr:colOff>
      <xdr:row>6</xdr:row>
      <xdr:rowOff>304800</xdr:rowOff>
    </xdr:to>
    <xdr:sp>
      <xdr:nvSpPr>
        <xdr:cNvPr id="7" name="AutoShape 1" descr="C:\Users\Administrator\Documents\Tencent Files\843599678\Image\C2C\3(XEIQFZMLNN$H(C4L8D1K3.png"/>
        <xdr:cNvSpPr>
          <a:spLocks noChangeAspect="1" noChangeArrowheads="1"/>
        </xdr:cNvSpPr>
      </xdr:nvSpPr>
      <xdr:spPr>
        <a:xfrm>
          <a:off x="8830945" y="609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304800</xdr:colOff>
      <xdr:row>3</xdr:row>
      <xdr:rowOff>304800</xdr:rowOff>
    </xdr:to>
    <xdr:sp>
      <xdr:nvSpPr>
        <xdr:cNvPr id="8" name="AutoShape 1" descr="C:\Users\Administrator\Documents\Tencent Files\843599678\Image\C2C\3(XEIQFZMLNN$H(C4L8D1K3.png"/>
        <xdr:cNvSpPr>
          <a:spLocks noChangeAspect="1" noChangeArrowheads="1"/>
        </xdr:cNvSpPr>
      </xdr:nvSpPr>
      <xdr:spPr>
        <a:xfrm>
          <a:off x="8830945" y="197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</xdr:row>
      <xdr:rowOff>0</xdr:rowOff>
    </xdr:from>
    <xdr:to>
      <xdr:col>5</xdr:col>
      <xdr:colOff>304800</xdr:colOff>
      <xdr:row>4</xdr:row>
      <xdr:rowOff>304800</xdr:rowOff>
    </xdr:to>
    <xdr:sp>
      <xdr:nvSpPr>
        <xdr:cNvPr id="9" name="AutoShape 1" descr="C:\Users\Administrator\Documents\Tencent Files\843599678\Image\C2C\3(XEIQFZMLNN$H(C4L8D1K3.png"/>
        <xdr:cNvSpPr>
          <a:spLocks noChangeAspect="1" noChangeArrowheads="1"/>
        </xdr:cNvSpPr>
      </xdr:nvSpPr>
      <xdr:spPr>
        <a:xfrm>
          <a:off x="8830945" y="36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</xdr:row>
      <xdr:rowOff>0</xdr:rowOff>
    </xdr:from>
    <xdr:to>
      <xdr:col>5</xdr:col>
      <xdr:colOff>304800</xdr:colOff>
      <xdr:row>4</xdr:row>
      <xdr:rowOff>304800</xdr:rowOff>
    </xdr:to>
    <xdr:sp>
      <xdr:nvSpPr>
        <xdr:cNvPr id="10" name="AutoShape 1" descr="C:\Users\Administrator\Documents\Tencent Files\843599678\Image\C2C\3(XEIQFZMLNN$H(C4L8D1K3.png"/>
        <xdr:cNvSpPr>
          <a:spLocks noChangeAspect="1" noChangeArrowheads="1"/>
        </xdr:cNvSpPr>
      </xdr:nvSpPr>
      <xdr:spPr>
        <a:xfrm>
          <a:off x="8830945" y="36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</xdr:row>
      <xdr:rowOff>0</xdr:rowOff>
    </xdr:from>
    <xdr:to>
      <xdr:col>5</xdr:col>
      <xdr:colOff>304800</xdr:colOff>
      <xdr:row>5</xdr:row>
      <xdr:rowOff>304800</xdr:rowOff>
    </xdr:to>
    <xdr:sp>
      <xdr:nvSpPr>
        <xdr:cNvPr id="11" name="AutoShape 1" descr="C:\Users\Administrator\Documents\Tencent Files\843599678\Image\C2C\3(XEIQFZMLNN$H(C4L8D1K3.png"/>
        <xdr:cNvSpPr>
          <a:spLocks noChangeAspect="1" noChangeArrowheads="1"/>
        </xdr:cNvSpPr>
      </xdr:nvSpPr>
      <xdr:spPr>
        <a:xfrm>
          <a:off x="8830945" y="523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</xdr:row>
      <xdr:rowOff>0</xdr:rowOff>
    </xdr:from>
    <xdr:to>
      <xdr:col>5</xdr:col>
      <xdr:colOff>304800</xdr:colOff>
      <xdr:row>5</xdr:row>
      <xdr:rowOff>304800</xdr:rowOff>
    </xdr:to>
    <xdr:sp>
      <xdr:nvSpPr>
        <xdr:cNvPr id="12" name="AutoShape 1" descr="C:\Users\Administrator\Documents\Tencent Files\843599678\Image\C2C\3(XEIQFZMLNN$H(C4L8D1K3.png"/>
        <xdr:cNvSpPr>
          <a:spLocks noChangeAspect="1" noChangeArrowheads="1"/>
        </xdr:cNvSpPr>
      </xdr:nvSpPr>
      <xdr:spPr>
        <a:xfrm>
          <a:off x="8830945" y="523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</xdr:row>
      <xdr:rowOff>0</xdr:rowOff>
    </xdr:from>
    <xdr:to>
      <xdr:col>5</xdr:col>
      <xdr:colOff>304800</xdr:colOff>
      <xdr:row>5</xdr:row>
      <xdr:rowOff>304800</xdr:rowOff>
    </xdr:to>
    <xdr:sp>
      <xdr:nvSpPr>
        <xdr:cNvPr id="13" name="AutoShape 1" descr="C:\Users\Administrator\Documents\Tencent Files\843599678\Image\C2C\3(XEIQFZMLNN$H(C4L8D1K3.png"/>
        <xdr:cNvSpPr>
          <a:spLocks noChangeAspect="1" noChangeArrowheads="1"/>
        </xdr:cNvSpPr>
      </xdr:nvSpPr>
      <xdr:spPr>
        <a:xfrm>
          <a:off x="8830945" y="523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</xdr:row>
      <xdr:rowOff>0</xdr:rowOff>
    </xdr:from>
    <xdr:to>
      <xdr:col>5</xdr:col>
      <xdr:colOff>304800</xdr:colOff>
      <xdr:row>6</xdr:row>
      <xdr:rowOff>304800</xdr:rowOff>
    </xdr:to>
    <xdr:sp>
      <xdr:nvSpPr>
        <xdr:cNvPr id="14" name="AutoShape 1" descr="C:\Users\Administrator\Documents\Tencent Files\843599678\Image\C2C\3(XEIQFZMLNN$H(C4L8D1K3.png"/>
        <xdr:cNvSpPr>
          <a:spLocks noChangeAspect="1" noChangeArrowheads="1"/>
        </xdr:cNvSpPr>
      </xdr:nvSpPr>
      <xdr:spPr>
        <a:xfrm>
          <a:off x="8830945" y="609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</xdr:row>
      <xdr:rowOff>0</xdr:rowOff>
    </xdr:from>
    <xdr:to>
      <xdr:col>5</xdr:col>
      <xdr:colOff>304800</xdr:colOff>
      <xdr:row>6</xdr:row>
      <xdr:rowOff>304800</xdr:rowOff>
    </xdr:to>
    <xdr:sp>
      <xdr:nvSpPr>
        <xdr:cNvPr id="15" name="AutoShape 1" descr="C:\Users\Administrator\Documents\Tencent Files\843599678\Image\C2C\3(XEIQFZMLNN$H(C4L8D1K3.png"/>
        <xdr:cNvSpPr>
          <a:spLocks noChangeAspect="1" noChangeArrowheads="1"/>
        </xdr:cNvSpPr>
      </xdr:nvSpPr>
      <xdr:spPr>
        <a:xfrm>
          <a:off x="8830945" y="609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</xdr:row>
      <xdr:rowOff>0</xdr:rowOff>
    </xdr:from>
    <xdr:to>
      <xdr:col>5</xdr:col>
      <xdr:colOff>304800</xdr:colOff>
      <xdr:row>6</xdr:row>
      <xdr:rowOff>304800</xdr:rowOff>
    </xdr:to>
    <xdr:sp>
      <xdr:nvSpPr>
        <xdr:cNvPr id="16" name="AutoShape 1" descr="C:\Users\Administrator\Documents\Tencent Files\843599678\Image\C2C\3(XEIQFZMLNN$H(C4L8D1K3.png"/>
        <xdr:cNvSpPr>
          <a:spLocks noChangeAspect="1" noChangeArrowheads="1"/>
        </xdr:cNvSpPr>
      </xdr:nvSpPr>
      <xdr:spPr>
        <a:xfrm>
          <a:off x="8830945" y="609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304800</xdr:colOff>
      <xdr:row>7</xdr:row>
      <xdr:rowOff>304800</xdr:rowOff>
    </xdr:to>
    <xdr:sp>
      <xdr:nvSpPr>
        <xdr:cNvPr id="17" name="AutoShape 1" descr="C:\Users\Administrator\Documents\Tencent Files\843599678\Image\C2C\3(XEIQFZMLNN$H(C4L8D1K3.png"/>
        <xdr:cNvSpPr>
          <a:spLocks noChangeAspect="1" noChangeArrowheads="1"/>
        </xdr:cNvSpPr>
      </xdr:nvSpPr>
      <xdr:spPr>
        <a:xfrm>
          <a:off x="8830945" y="730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304800</xdr:colOff>
      <xdr:row>8</xdr:row>
      <xdr:rowOff>304800</xdr:rowOff>
    </xdr:to>
    <xdr:sp>
      <xdr:nvSpPr>
        <xdr:cNvPr id="18" name="AutoShape 1" descr="C:\Users\Administrator\Documents\Tencent Files\843599678\Image\C2C\3(XEIQFZMLNN$H(C4L8D1K3.png"/>
        <xdr:cNvSpPr>
          <a:spLocks noChangeAspect="1" noChangeArrowheads="1"/>
        </xdr:cNvSpPr>
      </xdr:nvSpPr>
      <xdr:spPr>
        <a:xfrm>
          <a:off x="8830945" y="900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304800</xdr:colOff>
      <xdr:row>9</xdr:row>
      <xdr:rowOff>304800</xdr:rowOff>
    </xdr:to>
    <xdr:sp>
      <xdr:nvSpPr>
        <xdr:cNvPr id="19" name="AutoShape 1" descr="C:\Users\Administrator\Documents\Tencent Files\843599678\Image\C2C\3(XEIQFZMLNN$H(C4L8D1K3.png"/>
        <xdr:cNvSpPr>
          <a:spLocks noChangeAspect="1" noChangeArrowheads="1"/>
        </xdr:cNvSpPr>
      </xdr:nvSpPr>
      <xdr:spPr>
        <a:xfrm>
          <a:off x="8830945" y="1056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304800</xdr:colOff>
      <xdr:row>9</xdr:row>
      <xdr:rowOff>304800</xdr:rowOff>
    </xdr:to>
    <xdr:sp>
      <xdr:nvSpPr>
        <xdr:cNvPr id="20" name="AutoShape 1" descr="C:\Users\Administrator\Documents\Tencent Files\843599678\Image\C2C\3(XEIQFZMLNN$H(C4L8D1K3.png"/>
        <xdr:cNvSpPr>
          <a:spLocks noChangeAspect="1" noChangeArrowheads="1"/>
        </xdr:cNvSpPr>
      </xdr:nvSpPr>
      <xdr:spPr>
        <a:xfrm>
          <a:off x="8830945" y="1056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304800</xdr:colOff>
      <xdr:row>10</xdr:row>
      <xdr:rowOff>304800</xdr:rowOff>
    </xdr:to>
    <xdr:sp>
      <xdr:nvSpPr>
        <xdr:cNvPr id="21" name="AutoShape 1" descr="C:\Users\Administrator\Documents\Tencent Files\843599678\Image\C2C\3(XEIQFZMLNN$H(C4L8D1K3.png"/>
        <xdr:cNvSpPr>
          <a:spLocks noChangeAspect="1" noChangeArrowheads="1"/>
        </xdr:cNvSpPr>
      </xdr:nvSpPr>
      <xdr:spPr>
        <a:xfrm>
          <a:off x="8830945" y="1142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304800</xdr:colOff>
      <xdr:row>7</xdr:row>
      <xdr:rowOff>304800</xdr:rowOff>
    </xdr:to>
    <xdr:sp>
      <xdr:nvSpPr>
        <xdr:cNvPr id="22" name="AutoShape 1" descr="C:\Users\Administrator\Documents\Tencent Files\843599678\Image\C2C\3(XEIQFZMLNN$H(C4L8D1K3.png"/>
        <xdr:cNvSpPr>
          <a:spLocks noChangeAspect="1" noChangeArrowheads="1"/>
        </xdr:cNvSpPr>
      </xdr:nvSpPr>
      <xdr:spPr>
        <a:xfrm>
          <a:off x="8830945" y="730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304800</xdr:colOff>
      <xdr:row>8</xdr:row>
      <xdr:rowOff>304800</xdr:rowOff>
    </xdr:to>
    <xdr:sp>
      <xdr:nvSpPr>
        <xdr:cNvPr id="23" name="AutoShape 1" descr="C:\Users\Administrator\Documents\Tencent Files\843599678\Image\C2C\3(XEIQFZMLNN$H(C4L8D1K3.png"/>
        <xdr:cNvSpPr>
          <a:spLocks noChangeAspect="1" noChangeArrowheads="1"/>
        </xdr:cNvSpPr>
      </xdr:nvSpPr>
      <xdr:spPr>
        <a:xfrm>
          <a:off x="8830945" y="900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304800</xdr:colOff>
      <xdr:row>8</xdr:row>
      <xdr:rowOff>304800</xdr:rowOff>
    </xdr:to>
    <xdr:sp>
      <xdr:nvSpPr>
        <xdr:cNvPr id="24" name="AutoShape 1" descr="C:\Users\Administrator\Documents\Tencent Files\843599678\Image\C2C\3(XEIQFZMLNN$H(C4L8D1K3.png"/>
        <xdr:cNvSpPr>
          <a:spLocks noChangeAspect="1" noChangeArrowheads="1"/>
        </xdr:cNvSpPr>
      </xdr:nvSpPr>
      <xdr:spPr>
        <a:xfrm>
          <a:off x="8830945" y="900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304800</xdr:colOff>
      <xdr:row>9</xdr:row>
      <xdr:rowOff>304800</xdr:rowOff>
    </xdr:to>
    <xdr:sp>
      <xdr:nvSpPr>
        <xdr:cNvPr id="25" name="AutoShape 1" descr="C:\Users\Administrator\Documents\Tencent Files\843599678\Image\C2C\3(XEIQFZMLNN$H(C4L8D1K3.png"/>
        <xdr:cNvSpPr>
          <a:spLocks noChangeAspect="1" noChangeArrowheads="1"/>
        </xdr:cNvSpPr>
      </xdr:nvSpPr>
      <xdr:spPr>
        <a:xfrm>
          <a:off x="8830945" y="1056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304800</xdr:colOff>
      <xdr:row>9</xdr:row>
      <xdr:rowOff>304800</xdr:rowOff>
    </xdr:to>
    <xdr:sp>
      <xdr:nvSpPr>
        <xdr:cNvPr id="26" name="AutoShape 1" descr="C:\Users\Administrator\Documents\Tencent Files\843599678\Image\C2C\3(XEIQFZMLNN$H(C4L8D1K3.png"/>
        <xdr:cNvSpPr>
          <a:spLocks noChangeAspect="1" noChangeArrowheads="1"/>
        </xdr:cNvSpPr>
      </xdr:nvSpPr>
      <xdr:spPr>
        <a:xfrm>
          <a:off x="8830945" y="1056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304800</xdr:colOff>
      <xdr:row>9</xdr:row>
      <xdr:rowOff>304800</xdr:rowOff>
    </xdr:to>
    <xdr:sp>
      <xdr:nvSpPr>
        <xdr:cNvPr id="27" name="AutoShape 1" descr="C:\Users\Administrator\Documents\Tencent Files\843599678\Image\C2C\3(XEIQFZMLNN$H(C4L8D1K3.png"/>
        <xdr:cNvSpPr>
          <a:spLocks noChangeAspect="1" noChangeArrowheads="1"/>
        </xdr:cNvSpPr>
      </xdr:nvSpPr>
      <xdr:spPr>
        <a:xfrm>
          <a:off x="8830945" y="1056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304800</xdr:colOff>
      <xdr:row>10</xdr:row>
      <xdr:rowOff>304800</xdr:rowOff>
    </xdr:to>
    <xdr:sp>
      <xdr:nvSpPr>
        <xdr:cNvPr id="28" name="AutoShape 1" descr="C:\Users\Administrator\Documents\Tencent Files\843599678\Image\C2C\3(XEIQFZMLNN$H(C4L8D1K3.png"/>
        <xdr:cNvSpPr>
          <a:spLocks noChangeAspect="1" noChangeArrowheads="1"/>
        </xdr:cNvSpPr>
      </xdr:nvSpPr>
      <xdr:spPr>
        <a:xfrm>
          <a:off x="8830945" y="1142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304800</xdr:colOff>
      <xdr:row>10</xdr:row>
      <xdr:rowOff>304800</xdr:rowOff>
    </xdr:to>
    <xdr:sp>
      <xdr:nvSpPr>
        <xdr:cNvPr id="29" name="AutoShape 1" descr="C:\Users\Administrator\Documents\Tencent Files\843599678\Image\C2C\3(XEIQFZMLNN$H(C4L8D1K3.png"/>
        <xdr:cNvSpPr>
          <a:spLocks noChangeAspect="1" noChangeArrowheads="1"/>
        </xdr:cNvSpPr>
      </xdr:nvSpPr>
      <xdr:spPr>
        <a:xfrm>
          <a:off x="8830945" y="1142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5</xdr:col>
      <xdr:colOff>349250</xdr:colOff>
      <xdr:row>3</xdr:row>
      <xdr:rowOff>161925</xdr:rowOff>
    </xdr:from>
    <xdr:to>
      <xdr:col>5</xdr:col>
      <xdr:colOff>788670</xdr:colOff>
      <xdr:row>3</xdr:row>
      <xdr:rowOff>990600</xdr:rowOff>
    </xdr:to>
    <xdr:pic>
      <xdr:nvPicPr>
        <xdr:cNvPr id="2" name="图片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0426700" y="2346325"/>
          <a:ext cx="439420" cy="82867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520700</xdr:colOff>
      <xdr:row>12</xdr:row>
      <xdr:rowOff>47625</xdr:rowOff>
    </xdr:from>
    <xdr:to>
      <xdr:col>5</xdr:col>
      <xdr:colOff>1175385</xdr:colOff>
      <xdr:row>12</xdr:row>
      <xdr:rowOff>1067435</xdr:rowOff>
    </xdr:to>
    <xdr:pic>
      <xdr:nvPicPr>
        <xdr:cNvPr id="3" name="图片 2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10598150" y="12319000"/>
          <a:ext cx="654685" cy="101981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482600</xdr:colOff>
      <xdr:row>13</xdr:row>
      <xdr:rowOff>171450</xdr:rowOff>
    </xdr:from>
    <xdr:to>
      <xdr:col>5</xdr:col>
      <xdr:colOff>1163320</xdr:colOff>
      <xdr:row>13</xdr:row>
      <xdr:rowOff>1178560</xdr:rowOff>
    </xdr:to>
    <xdr:pic>
      <xdr:nvPicPr>
        <xdr:cNvPr id="4" name="图片 3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10560050" y="13528675"/>
          <a:ext cx="680720" cy="100711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473075</xdr:colOff>
      <xdr:row>14</xdr:row>
      <xdr:rowOff>50800</xdr:rowOff>
    </xdr:from>
    <xdr:to>
      <xdr:col>5</xdr:col>
      <xdr:colOff>1316990</xdr:colOff>
      <xdr:row>14</xdr:row>
      <xdr:rowOff>1403985</xdr:rowOff>
    </xdr:to>
    <xdr:pic>
      <xdr:nvPicPr>
        <xdr:cNvPr id="5" name="图片 4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0550525" y="14830425"/>
          <a:ext cx="843915" cy="135318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511175</xdr:colOff>
      <xdr:row>15</xdr:row>
      <xdr:rowOff>66675</xdr:rowOff>
    </xdr:from>
    <xdr:to>
      <xdr:col>5</xdr:col>
      <xdr:colOff>1273810</xdr:colOff>
      <xdr:row>15</xdr:row>
      <xdr:rowOff>1231900</xdr:rowOff>
    </xdr:to>
    <xdr:pic>
      <xdr:nvPicPr>
        <xdr:cNvPr id="6" name="图片 5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0588625" y="16265525"/>
          <a:ext cx="762635" cy="11652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425450</xdr:colOff>
      <xdr:row>16</xdr:row>
      <xdr:rowOff>38100</xdr:rowOff>
    </xdr:from>
    <xdr:to>
      <xdr:col>5</xdr:col>
      <xdr:colOff>1413510</xdr:colOff>
      <xdr:row>16</xdr:row>
      <xdr:rowOff>1733550</xdr:rowOff>
    </xdr:to>
    <xdr:pic>
      <xdr:nvPicPr>
        <xdr:cNvPr id="7" name="图片 6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0502900" y="17633950"/>
          <a:ext cx="988060" cy="1695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520700</xdr:colOff>
      <xdr:row>17</xdr:row>
      <xdr:rowOff>57150</xdr:rowOff>
    </xdr:from>
    <xdr:to>
      <xdr:col>5</xdr:col>
      <xdr:colOff>1340485</xdr:colOff>
      <xdr:row>17</xdr:row>
      <xdr:rowOff>1407795</xdr:rowOff>
    </xdr:to>
    <xdr:pic>
      <xdr:nvPicPr>
        <xdr:cNvPr id="8" name="图片 7"/>
        <xdr:cNvPicPr>
          <a:picLocks noChangeAspect="1"/>
        </xdr:cNvPicPr>
      </xdr:nvPicPr>
      <xdr:blipFill>
        <a:blip r:embed="rId7"/>
        <a:stretch>
          <a:fillRect/>
        </a:stretch>
      </xdr:blipFill>
      <xdr:spPr>
        <a:xfrm>
          <a:off x="10598150" y="19443700"/>
          <a:ext cx="819785" cy="135064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358775</xdr:colOff>
      <xdr:row>18</xdr:row>
      <xdr:rowOff>133350</xdr:rowOff>
    </xdr:from>
    <xdr:to>
      <xdr:col>5</xdr:col>
      <xdr:colOff>1438910</xdr:colOff>
      <xdr:row>18</xdr:row>
      <xdr:rowOff>1809750</xdr:rowOff>
    </xdr:to>
    <xdr:pic>
      <xdr:nvPicPr>
        <xdr:cNvPr id="9" name="图片 8"/>
        <xdr:cNvPicPr>
          <a:picLocks noChangeAspect="1"/>
        </xdr:cNvPicPr>
      </xdr:nvPicPr>
      <xdr:blipFill>
        <a:blip r:embed="rId8"/>
        <a:stretch>
          <a:fillRect/>
        </a:stretch>
      </xdr:blipFill>
      <xdr:spPr>
        <a:xfrm>
          <a:off x="10436225" y="20967700"/>
          <a:ext cx="1080135" cy="16764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292100</xdr:colOff>
      <xdr:row>19</xdr:row>
      <xdr:rowOff>133350</xdr:rowOff>
    </xdr:from>
    <xdr:to>
      <xdr:col>5</xdr:col>
      <xdr:colOff>1405890</xdr:colOff>
      <xdr:row>19</xdr:row>
      <xdr:rowOff>1733550</xdr:rowOff>
    </xdr:to>
    <xdr:pic>
      <xdr:nvPicPr>
        <xdr:cNvPr id="10" name="图片 9"/>
        <xdr:cNvPicPr>
          <a:picLocks noChangeAspect="1"/>
        </xdr:cNvPicPr>
      </xdr:nvPicPr>
      <xdr:blipFill>
        <a:blip r:embed="rId9"/>
        <a:stretch>
          <a:fillRect/>
        </a:stretch>
      </xdr:blipFill>
      <xdr:spPr>
        <a:xfrm>
          <a:off x="10369550" y="22898100"/>
          <a:ext cx="1113790" cy="16002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415925</xdr:colOff>
      <xdr:row>4</xdr:row>
      <xdr:rowOff>95250</xdr:rowOff>
    </xdr:from>
    <xdr:to>
      <xdr:col>5</xdr:col>
      <xdr:colOff>977265</xdr:colOff>
      <xdr:row>4</xdr:row>
      <xdr:rowOff>1000760</xdr:rowOff>
    </xdr:to>
    <xdr:pic>
      <xdr:nvPicPr>
        <xdr:cNvPr id="11" name="图片 10"/>
        <xdr:cNvPicPr>
          <a:picLocks noChangeAspect="1"/>
        </xdr:cNvPicPr>
      </xdr:nvPicPr>
      <xdr:blipFill>
        <a:blip r:embed="rId10"/>
        <a:stretch>
          <a:fillRect/>
        </a:stretch>
      </xdr:blipFill>
      <xdr:spPr>
        <a:xfrm>
          <a:off x="10493375" y="3365500"/>
          <a:ext cx="561340" cy="90551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387350</xdr:colOff>
      <xdr:row>5</xdr:row>
      <xdr:rowOff>66675</xdr:rowOff>
    </xdr:from>
    <xdr:to>
      <xdr:col>5</xdr:col>
      <xdr:colOff>1026160</xdr:colOff>
      <xdr:row>5</xdr:row>
      <xdr:rowOff>1084580</xdr:rowOff>
    </xdr:to>
    <xdr:pic>
      <xdr:nvPicPr>
        <xdr:cNvPr id="12" name="图片 11"/>
        <xdr:cNvPicPr>
          <a:picLocks noChangeAspect="1"/>
        </xdr:cNvPicPr>
      </xdr:nvPicPr>
      <xdr:blipFill>
        <a:blip r:embed="rId11"/>
        <a:stretch>
          <a:fillRect/>
        </a:stretch>
      </xdr:blipFill>
      <xdr:spPr>
        <a:xfrm>
          <a:off x="10464800" y="4422775"/>
          <a:ext cx="638810" cy="101790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444500</xdr:colOff>
      <xdr:row>6</xdr:row>
      <xdr:rowOff>19050</xdr:rowOff>
    </xdr:from>
    <xdr:to>
      <xdr:col>5</xdr:col>
      <xdr:colOff>896620</xdr:colOff>
      <xdr:row>6</xdr:row>
      <xdr:rowOff>821690</xdr:rowOff>
    </xdr:to>
    <xdr:pic>
      <xdr:nvPicPr>
        <xdr:cNvPr id="13" name="图片 12"/>
        <xdr:cNvPicPr>
          <a:picLocks noChangeAspect="1"/>
        </xdr:cNvPicPr>
      </xdr:nvPicPr>
      <xdr:blipFill>
        <a:blip r:embed="rId12"/>
        <a:stretch>
          <a:fillRect/>
        </a:stretch>
      </xdr:blipFill>
      <xdr:spPr>
        <a:xfrm>
          <a:off x="10521950" y="5518150"/>
          <a:ext cx="452120" cy="8026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434975</xdr:colOff>
      <xdr:row>7</xdr:row>
      <xdr:rowOff>133350</xdr:rowOff>
    </xdr:from>
    <xdr:to>
      <xdr:col>5</xdr:col>
      <xdr:colOff>1200150</xdr:colOff>
      <xdr:row>7</xdr:row>
      <xdr:rowOff>1067435</xdr:rowOff>
    </xdr:to>
    <xdr:pic>
      <xdr:nvPicPr>
        <xdr:cNvPr id="14" name="图片 13"/>
        <xdr:cNvPicPr>
          <a:picLocks noChangeAspect="1"/>
        </xdr:cNvPicPr>
      </xdr:nvPicPr>
      <xdr:blipFill>
        <a:blip r:embed="rId13"/>
        <a:stretch>
          <a:fillRect/>
        </a:stretch>
      </xdr:blipFill>
      <xdr:spPr>
        <a:xfrm>
          <a:off x="10512425" y="6537325"/>
          <a:ext cx="765175" cy="93408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415925</xdr:colOff>
      <xdr:row>8</xdr:row>
      <xdr:rowOff>85725</xdr:rowOff>
    </xdr:from>
    <xdr:to>
      <xdr:col>5</xdr:col>
      <xdr:colOff>1007110</xdr:colOff>
      <xdr:row>8</xdr:row>
      <xdr:rowOff>1082040</xdr:rowOff>
    </xdr:to>
    <xdr:pic>
      <xdr:nvPicPr>
        <xdr:cNvPr id="15" name="图片 14"/>
        <xdr:cNvPicPr>
          <a:picLocks noChangeAspect="1"/>
        </xdr:cNvPicPr>
      </xdr:nvPicPr>
      <xdr:blipFill>
        <a:blip r:embed="rId14"/>
        <a:stretch>
          <a:fillRect/>
        </a:stretch>
      </xdr:blipFill>
      <xdr:spPr>
        <a:xfrm>
          <a:off x="10493375" y="7632700"/>
          <a:ext cx="591185" cy="996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368300</xdr:colOff>
      <xdr:row>9</xdr:row>
      <xdr:rowOff>38100</xdr:rowOff>
    </xdr:from>
    <xdr:to>
      <xdr:col>5</xdr:col>
      <xdr:colOff>1101725</xdr:colOff>
      <xdr:row>9</xdr:row>
      <xdr:rowOff>1143000</xdr:rowOff>
    </xdr:to>
    <xdr:pic>
      <xdr:nvPicPr>
        <xdr:cNvPr id="16" name="图片 15"/>
        <xdr:cNvPicPr>
          <a:picLocks noChangeAspect="1"/>
        </xdr:cNvPicPr>
      </xdr:nvPicPr>
      <xdr:blipFill>
        <a:blip r:embed="rId15"/>
        <a:stretch>
          <a:fillRect/>
        </a:stretch>
      </xdr:blipFill>
      <xdr:spPr>
        <a:xfrm>
          <a:off x="10445750" y="8880475"/>
          <a:ext cx="733425" cy="11049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444500</xdr:colOff>
      <xdr:row>10</xdr:row>
      <xdr:rowOff>57150</xdr:rowOff>
    </xdr:from>
    <xdr:to>
      <xdr:col>5</xdr:col>
      <xdr:colOff>998220</xdr:colOff>
      <xdr:row>10</xdr:row>
      <xdr:rowOff>984885</xdr:rowOff>
    </xdr:to>
    <xdr:pic>
      <xdr:nvPicPr>
        <xdr:cNvPr id="17" name="图片 16"/>
        <xdr:cNvPicPr>
          <a:picLocks noChangeAspect="1"/>
        </xdr:cNvPicPr>
      </xdr:nvPicPr>
      <xdr:blipFill>
        <a:blip r:embed="rId16"/>
        <a:stretch>
          <a:fillRect/>
        </a:stretch>
      </xdr:blipFill>
      <xdr:spPr>
        <a:xfrm>
          <a:off x="10521950" y="10156825"/>
          <a:ext cx="553720" cy="92773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511175</xdr:colOff>
      <xdr:row>11</xdr:row>
      <xdr:rowOff>28575</xdr:rowOff>
    </xdr:from>
    <xdr:to>
      <xdr:col>5</xdr:col>
      <xdr:colOff>1160780</xdr:colOff>
      <xdr:row>12</xdr:row>
      <xdr:rowOff>28575</xdr:rowOff>
    </xdr:to>
    <xdr:pic>
      <xdr:nvPicPr>
        <xdr:cNvPr id="18" name="图片 17"/>
        <xdr:cNvPicPr>
          <a:picLocks noChangeAspect="1"/>
        </xdr:cNvPicPr>
      </xdr:nvPicPr>
      <xdr:blipFill>
        <a:blip r:embed="rId17"/>
        <a:stretch>
          <a:fillRect/>
        </a:stretch>
      </xdr:blipFill>
      <xdr:spPr>
        <a:xfrm>
          <a:off x="10588625" y="11214100"/>
          <a:ext cx="649605" cy="108585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29</xdr:col>
      <xdr:colOff>44450</xdr:colOff>
      <xdr:row>3</xdr:row>
      <xdr:rowOff>32385</xdr:rowOff>
    </xdr:from>
    <xdr:to>
      <xdr:col>29</xdr:col>
      <xdr:colOff>311785</xdr:colOff>
      <xdr:row>3</xdr:row>
      <xdr:rowOff>397510</xdr:rowOff>
    </xdr:to>
    <xdr:pic>
      <xdr:nvPicPr>
        <xdr:cNvPr id="2" name="图片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7486015" y="965835"/>
          <a:ext cx="267335" cy="3651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30</xdr:col>
      <xdr:colOff>60960</xdr:colOff>
      <xdr:row>3</xdr:row>
      <xdr:rowOff>48260</xdr:rowOff>
    </xdr:from>
    <xdr:to>
      <xdr:col>30</xdr:col>
      <xdr:colOff>339090</xdr:colOff>
      <xdr:row>3</xdr:row>
      <xdr:rowOff>381000</xdr:rowOff>
    </xdr:to>
    <xdr:pic>
      <xdr:nvPicPr>
        <xdr:cNvPr id="3" name="图片 2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7854950" y="981710"/>
          <a:ext cx="278130" cy="3327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31</xdr:col>
      <xdr:colOff>31115</xdr:colOff>
      <xdr:row>3</xdr:row>
      <xdr:rowOff>51435</xdr:rowOff>
    </xdr:from>
    <xdr:to>
      <xdr:col>31</xdr:col>
      <xdr:colOff>343535</xdr:colOff>
      <xdr:row>3</xdr:row>
      <xdr:rowOff>375285</xdr:rowOff>
    </xdr:to>
    <xdr:pic>
      <xdr:nvPicPr>
        <xdr:cNvPr id="4" name="图片 3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8177530" y="984885"/>
          <a:ext cx="312420" cy="3238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32</xdr:col>
      <xdr:colOff>18415</xdr:colOff>
      <xdr:row>3</xdr:row>
      <xdr:rowOff>51435</xdr:rowOff>
    </xdr:from>
    <xdr:to>
      <xdr:col>32</xdr:col>
      <xdr:colOff>335280</xdr:colOff>
      <xdr:row>3</xdr:row>
      <xdr:rowOff>363855</xdr:rowOff>
    </xdr:to>
    <xdr:pic>
      <xdr:nvPicPr>
        <xdr:cNvPr id="5" name="图片 4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8517255" y="984885"/>
          <a:ext cx="316865" cy="3124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33</xdr:col>
      <xdr:colOff>14605</xdr:colOff>
      <xdr:row>3</xdr:row>
      <xdr:rowOff>44450</xdr:rowOff>
    </xdr:from>
    <xdr:to>
      <xdr:col>33</xdr:col>
      <xdr:colOff>334645</xdr:colOff>
      <xdr:row>3</xdr:row>
      <xdr:rowOff>349250</xdr:rowOff>
    </xdr:to>
    <xdr:pic>
      <xdr:nvPicPr>
        <xdr:cNvPr id="6" name="图片 5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8865870" y="977900"/>
          <a:ext cx="320040" cy="3048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28575</xdr:colOff>
      <xdr:row>3</xdr:row>
      <xdr:rowOff>67945</xdr:rowOff>
    </xdr:from>
    <xdr:to>
      <xdr:col>34</xdr:col>
      <xdr:colOff>330835</xdr:colOff>
      <xdr:row>3</xdr:row>
      <xdr:rowOff>361315</xdr:rowOff>
    </xdr:to>
    <xdr:pic>
      <xdr:nvPicPr>
        <xdr:cNvPr id="7" name="图片 6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9232265" y="1001395"/>
          <a:ext cx="302260" cy="2933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80</xdr:col>
      <xdr:colOff>44450</xdr:colOff>
      <xdr:row>3</xdr:row>
      <xdr:rowOff>32385</xdr:rowOff>
    </xdr:from>
    <xdr:to>
      <xdr:col>80</xdr:col>
      <xdr:colOff>311785</xdr:colOff>
      <xdr:row>3</xdr:row>
      <xdr:rowOff>397510</xdr:rowOff>
    </xdr:to>
    <xdr:pic>
      <xdr:nvPicPr>
        <xdr:cNvPr id="14" name="图片 13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23219410" y="965835"/>
          <a:ext cx="267335" cy="3651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81</xdr:col>
      <xdr:colOff>60960</xdr:colOff>
      <xdr:row>3</xdr:row>
      <xdr:rowOff>48260</xdr:rowOff>
    </xdr:from>
    <xdr:to>
      <xdr:col>81</xdr:col>
      <xdr:colOff>339090</xdr:colOff>
      <xdr:row>3</xdr:row>
      <xdr:rowOff>381000</xdr:rowOff>
    </xdr:to>
    <xdr:pic>
      <xdr:nvPicPr>
        <xdr:cNvPr id="15" name="图片 14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23588345" y="981710"/>
          <a:ext cx="278130" cy="3327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82</xdr:col>
      <xdr:colOff>31115</xdr:colOff>
      <xdr:row>3</xdr:row>
      <xdr:rowOff>51435</xdr:rowOff>
    </xdr:from>
    <xdr:to>
      <xdr:col>82</xdr:col>
      <xdr:colOff>343535</xdr:colOff>
      <xdr:row>3</xdr:row>
      <xdr:rowOff>375285</xdr:rowOff>
    </xdr:to>
    <xdr:pic>
      <xdr:nvPicPr>
        <xdr:cNvPr id="16" name="图片 15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23910925" y="984885"/>
          <a:ext cx="312420" cy="3238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83</xdr:col>
      <xdr:colOff>18415</xdr:colOff>
      <xdr:row>3</xdr:row>
      <xdr:rowOff>51435</xdr:rowOff>
    </xdr:from>
    <xdr:to>
      <xdr:col>83</xdr:col>
      <xdr:colOff>335280</xdr:colOff>
      <xdr:row>3</xdr:row>
      <xdr:rowOff>363855</xdr:rowOff>
    </xdr:to>
    <xdr:pic>
      <xdr:nvPicPr>
        <xdr:cNvPr id="17" name="图片 16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250650" y="984885"/>
          <a:ext cx="316865" cy="3124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84</xdr:col>
      <xdr:colOff>14605</xdr:colOff>
      <xdr:row>3</xdr:row>
      <xdr:rowOff>44450</xdr:rowOff>
    </xdr:from>
    <xdr:to>
      <xdr:col>84</xdr:col>
      <xdr:colOff>334645</xdr:colOff>
      <xdr:row>3</xdr:row>
      <xdr:rowOff>349250</xdr:rowOff>
    </xdr:to>
    <xdr:pic>
      <xdr:nvPicPr>
        <xdr:cNvPr id="18" name="图片 17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599265" y="977900"/>
          <a:ext cx="320040" cy="3048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85</xdr:col>
      <xdr:colOff>28575</xdr:colOff>
      <xdr:row>3</xdr:row>
      <xdr:rowOff>67945</xdr:rowOff>
    </xdr:from>
    <xdr:to>
      <xdr:col>85</xdr:col>
      <xdr:colOff>330835</xdr:colOff>
      <xdr:row>3</xdr:row>
      <xdr:rowOff>361315</xdr:rowOff>
    </xdr:to>
    <xdr:pic>
      <xdr:nvPicPr>
        <xdr:cNvPr id="19" name="图片 18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965660" y="1001395"/>
          <a:ext cx="302260" cy="2933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29</xdr:col>
      <xdr:colOff>44450</xdr:colOff>
      <xdr:row>21</xdr:row>
      <xdr:rowOff>32385</xdr:rowOff>
    </xdr:from>
    <xdr:to>
      <xdr:col>29</xdr:col>
      <xdr:colOff>311785</xdr:colOff>
      <xdr:row>21</xdr:row>
      <xdr:rowOff>397510</xdr:rowOff>
    </xdr:to>
    <xdr:pic>
      <xdr:nvPicPr>
        <xdr:cNvPr id="20" name="图片 19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7486015" y="5429885"/>
          <a:ext cx="267335" cy="3651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30</xdr:col>
      <xdr:colOff>60960</xdr:colOff>
      <xdr:row>21</xdr:row>
      <xdr:rowOff>48260</xdr:rowOff>
    </xdr:from>
    <xdr:to>
      <xdr:col>30</xdr:col>
      <xdr:colOff>339090</xdr:colOff>
      <xdr:row>21</xdr:row>
      <xdr:rowOff>381000</xdr:rowOff>
    </xdr:to>
    <xdr:pic>
      <xdr:nvPicPr>
        <xdr:cNvPr id="21" name="图片 20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7854950" y="5445760"/>
          <a:ext cx="278130" cy="3327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31</xdr:col>
      <xdr:colOff>31115</xdr:colOff>
      <xdr:row>21</xdr:row>
      <xdr:rowOff>51435</xdr:rowOff>
    </xdr:from>
    <xdr:to>
      <xdr:col>31</xdr:col>
      <xdr:colOff>343535</xdr:colOff>
      <xdr:row>21</xdr:row>
      <xdr:rowOff>375285</xdr:rowOff>
    </xdr:to>
    <xdr:pic>
      <xdr:nvPicPr>
        <xdr:cNvPr id="22" name="图片 21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8177530" y="5448935"/>
          <a:ext cx="312420" cy="3238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32</xdr:col>
      <xdr:colOff>18415</xdr:colOff>
      <xdr:row>21</xdr:row>
      <xdr:rowOff>51435</xdr:rowOff>
    </xdr:from>
    <xdr:to>
      <xdr:col>32</xdr:col>
      <xdr:colOff>335280</xdr:colOff>
      <xdr:row>21</xdr:row>
      <xdr:rowOff>363855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8517255" y="5448935"/>
          <a:ext cx="316865" cy="3124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33</xdr:col>
      <xdr:colOff>14605</xdr:colOff>
      <xdr:row>21</xdr:row>
      <xdr:rowOff>44450</xdr:rowOff>
    </xdr:from>
    <xdr:to>
      <xdr:col>33</xdr:col>
      <xdr:colOff>334645</xdr:colOff>
      <xdr:row>21</xdr:row>
      <xdr:rowOff>349250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8865870" y="5441950"/>
          <a:ext cx="320040" cy="3048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28575</xdr:colOff>
      <xdr:row>21</xdr:row>
      <xdr:rowOff>67945</xdr:rowOff>
    </xdr:from>
    <xdr:to>
      <xdr:col>34</xdr:col>
      <xdr:colOff>330835</xdr:colOff>
      <xdr:row>21</xdr:row>
      <xdr:rowOff>361315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9232265" y="5465445"/>
          <a:ext cx="302260" cy="293370"/>
        </a:xfrm>
        <a:prstGeom prst="rect">
          <a:avLst/>
        </a:prstGeom>
        <a:noFill/>
        <a:ln w="9525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104140</xdr:colOff>
          <xdr:row>0</xdr:row>
          <xdr:rowOff>67945</xdr:rowOff>
        </xdr:from>
        <xdr:to>
          <xdr:col>10</xdr:col>
          <xdr:colOff>200025</xdr:colOff>
          <xdr:row>1</xdr:row>
          <xdr:rowOff>169545</xdr:rowOff>
        </xdr:to>
        <xdr:sp>
          <xdr:nvSpPr>
            <xdr:cNvPr id="17409" name="Toggle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1602740" y="67945"/>
              <a:ext cx="1285875" cy="4635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image" Target="../media/image24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N48"/>
  <sheetViews>
    <sheetView zoomScale="85" zoomScaleNormal="85" workbookViewId="0">
      <selection activeCell="H4" sqref="H4"/>
    </sheetView>
  </sheetViews>
  <sheetFormatPr defaultColWidth="9" defaultRowHeight="14.25"/>
  <cols>
    <col min="1" max="1" width="4.11666666666667" style="61" customWidth="1"/>
    <col min="2" max="2" width="8.375" style="61" customWidth="1"/>
    <col min="3" max="3" width="11.5833333333333" style="61" customWidth="1"/>
    <col min="4" max="4" width="37.6333333333333" style="208" customWidth="1"/>
    <col min="5" max="6" width="27.4916666666667" style="209" customWidth="1"/>
    <col min="7" max="7" width="20.5" style="209" customWidth="1"/>
    <col min="8" max="8" width="30.7083333333333" style="209" customWidth="1"/>
    <col min="9" max="9" width="5.53333333333333" style="209" customWidth="1"/>
    <col min="10" max="10" width="9" style="209" customWidth="1"/>
    <col min="11" max="11" width="19.4083333333333" style="209" customWidth="1"/>
    <col min="12" max="12" width="16.6083333333333" style="209" customWidth="1"/>
    <col min="13" max="13" width="9" style="209"/>
    <col min="14" max="14" width="22.625" style="61" customWidth="1"/>
    <col min="15" max="16384" width="9" style="61"/>
  </cols>
  <sheetData>
    <row r="1" s="149" customFormat="1" ht="104" customHeight="1" spans="1:14">
      <c r="A1" s="153" t="s">
        <v>0</v>
      </c>
      <c r="B1" s="153" t="s">
        <v>1</v>
      </c>
      <c r="C1" s="153" t="s">
        <v>2</v>
      </c>
      <c r="D1" s="210"/>
      <c r="E1" s="211"/>
      <c r="F1" s="211"/>
      <c r="G1" s="211"/>
      <c r="H1" s="212" t="s">
        <v>3</v>
      </c>
      <c r="I1" s="212" t="s">
        <v>4</v>
      </c>
      <c r="J1" s="225" t="s">
        <v>5</v>
      </c>
      <c r="K1" s="225"/>
      <c r="L1" s="226"/>
      <c r="M1" s="226"/>
      <c r="N1" t="s">
        <v>6</v>
      </c>
    </row>
    <row r="2" s="149" customFormat="1" ht="52" customHeight="1" spans="1:13">
      <c r="A2" s="213" t="s">
        <v>7</v>
      </c>
      <c r="B2" s="214" t="s">
        <v>8</v>
      </c>
      <c r="C2" s="214" t="s">
        <v>9</v>
      </c>
      <c r="D2" s="215" t="s">
        <v>10</v>
      </c>
      <c r="E2" s="216" t="s">
        <v>11</v>
      </c>
      <c r="F2" s="216" t="s">
        <v>12</v>
      </c>
      <c r="G2" s="216" t="s">
        <v>13</v>
      </c>
      <c r="H2" s="217" t="s">
        <v>14</v>
      </c>
      <c r="I2" s="217" t="s">
        <v>15</v>
      </c>
      <c r="J2" s="227" t="s">
        <v>16</v>
      </c>
      <c r="K2" s="228" t="s">
        <v>17</v>
      </c>
      <c r="L2" s="229" t="s">
        <v>18</v>
      </c>
      <c r="M2" s="230" t="s">
        <v>19</v>
      </c>
    </row>
    <row r="3" s="207" customFormat="1" ht="40" customHeight="1" spans="1:14">
      <c r="A3" s="207" t="s">
        <v>20</v>
      </c>
      <c r="B3" s="218" t="s">
        <v>21</v>
      </c>
      <c r="C3" s="207" t="s">
        <v>22</v>
      </c>
      <c r="D3" s="219" t="s">
        <v>23</v>
      </c>
      <c r="E3" s="220" t="s">
        <v>24</v>
      </c>
      <c r="F3" s="220" t="s">
        <v>25</v>
      </c>
      <c r="G3" s="220" t="s">
        <v>26</v>
      </c>
      <c r="H3" s="221" t="s">
        <v>27</v>
      </c>
      <c r="I3" s="221" t="s">
        <v>28</v>
      </c>
      <c r="J3" s="221" t="s">
        <v>29</v>
      </c>
      <c r="K3" s="221" t="s">
        <v>30</v>
      </c>
      <c r="L3" s="221" t="s">
        <v>31</v>
      </c>
      <c r="M3" s="221" t="s">
        <v>32</v>
      </c>
      <c r="N3" s="82" t="s">
        <v>33</v>
      </c>
    </row>
    <row r="4" ht="91" customHeight="1" spans="1:14">
      <c r="A4" s="61">
        <v>1</v>
      </c>
      <c r="B4" s="149" t="s">
        <v>34</v>
      </c>
      <c r="C4" s="222" t="s">
        <v>35</v>
      </c>
      <c r="D4" s="223" t="str">
        <f>'!店铺横纵向对比'!G5&amp;";"&amp;'!店铺横纵向对比'!H5</f>
        <v>2002:1;2003:1;2001:1;2004:0;1000:1;1003:1;1005:1;1002:0;1004:0;1001:0</v>
      </c>
      <c r="E4" s="224" t="str">
        <f>IF(ISBLANK('!店铺横纵向对比'!AW5),"",'!店铺横纵向对比'!AW5)</f>
        <v>4001,1012,4001</v>
      </c>
      <c r="F4" s="224" t="str">
        <f>'!店铺横纵向对比'!F5</f>
        <v>gold:20;maxdemand:2</v>
      </c>
      <c r="G4" s="224" t="str">
        <f>'!店铺横纵向对比'!E5</f>
        <v>wt:2;stp:2;wait:8</v>
      </c>
      <c r="H4" s="224" t="str">
        <f>'!店铺横纵向对比'!D5</f>
        <v>gold:6;customer:1</v>
      </c>
      <c r="I4" s="224">
        <f>'!店铺横纵向对比'!AS5</f>
        <v>0</v>
      </c>
      <c r="J4" s="209" t="s">
        <v>36</v>
      </c>
      <c r="K4" s="226">
        <f>'!店铺横纵向对比'!M5</f>
        <v>0</v>
      </c>
      <c r="M4" s="226">
        <f>'!店铺横纵向对比'!N5</f>
        <v>1</v>
      </c>
      <c r="N4" s="61" t="str">
        <f>'!店铺横纵向对比'!C5</f>
        <v>1012:1;1011:0;4001:2;4004:0;4005:0;4007:0</v>
      </c>
    </row>
    <row r="5" ht="18" customHeight="1" spans="1:14">
      <c r="A5" s="61">
        <v>1</v>
      </c>
      <c r="B5" s="149" t="s">
        <v>37</v>
      </c>
      <c r="C5" s="222"/>
      <c r="D5" s="223" t="str">
        <f>'!店铺横纵向对比'!G6&amp;";"&amp;'!店铺横纵向对比'!H6</f>
        <v>2002:1;2003:1;2001:1;2004:0;1000:1;1003:1;1005:1;1002:0;1004:0;1001:0</v>
      </c>
      <c r="E5" s="224" t="str">
        <f>IF(ISBLANK('!店铺横纵向对比'!AW6),"",'!店铺横纵向对比'!AW6)</f>
        <v>4001,1012,4001</v>
      </c>
      <c r="F5" s="224" t="str">
        <f>'!店铺横纵向对比'!F6</f>
        <v>maxdemand:2;foodcount:13</v>
      </c>
      <c r="G5" s="224" t="str">
        <f>'!店铺横纵向对比'!E6</f>
        <v>wt:2;stp:2;wait:8</v>
      </c>
      <c r="H5" s="224" t="str">
        <f>'!店铺横纵向对比'!D6</f>
        <v>dish:13;customer:1</v>
      </c>
      <c r="I5" s="224">
        <f>'!店铺横纵向对比'!AS6</f>
        <v>216</v>
      </c>
      <c r="J5" s="209" t="s">
        <v>36</v>
      </c>
      <c r="K5" s="226">
        <f>'!店铺横纵向对比'!M6</f>
        <v>0</v>
      </c>
      <c r="M5" s="226">
        <f>'!店铺横纵向对比'!N6</f>
        <v>1</v>
      </c>
      <c r="N5" s="61" t="str">
        <f>'!店铺横纵向对比'!C6</f>
        <v>1012:1;1011:0;4001:2;4004:0;4005:0;4007:0</v>
      </c>
    </row>
    <row r="6" ht="18" customHeight="1" spans="1:14">
      <c r="A6" s="61">
        <v>1</v>
      </c>
      <c r="B6" s="149" t="s">
        <v>38</v>
      </c>
      <c r="C6" s="222"/>
      <c r="D6" s="223" t="str">
        <f>'!店铺横纵向对比'!G7&amp;";"&amp;'!店铺横纵向对比'!H7</f>
        <v>2002:2;2003:2;2001:1;2004:0;1000:1;1003:1;1005:1;1002:0;1004:0;1001:0</v>
      </c>
      <c r="E6" s="224" t="str">
        <f>IF(ISBLANK('!店铺横纵向对比'!AW7),"",'!店铺横纵向对比'!AW7)</f>
        <v>4001,1012,4001</v>
      </c>
      <c r="F6" s="224" t="str">
        <f>'!店铺横纵向对比'!F7</f>
        <v>maxdemand:2;foodcount:28</v>
      </c>
      <c r="G6" s="224" t="str">
        <f>'!店铺横纵向对比'!E7</f>
        <v>wt:2;stp:2;wait:8</v>
      </c>
      <c r="H6" s="224" t="str">
        <f>'!店铺横纵向对比'!D7</f>
        <v>praise:14;customer:1</v>
      </c>
      <c r="I6" s="224">
        <f>'!店铺横纵向对比'!AS7</f>
        <v>180</v>
      </c>
      <c r="J6" s="209" t="s">
        <v>36</v>
      </c>
      <c r="K6" s="226">
        <f>'!店铺横纵向对比'!M7</f>
        <v>0</v>
      </c>
      <c r="M6" s="226">
        <f>'!店铺横纵向对比'!N7</f>
        <v>1</v>
      </c>
      <c r="N6" s="61" t="str">
        <f>'!店铺横纵向对比'!C7</f>
        <v>1012:1;1011:0;4001:2;4004:0;4005:0;4007:0</v>
      </c>
    </row>
    <row r="7" ht="18" customHeight="1" spans="1:14">
      <c r="A7" s="61">
        <v>1</v>
      </c>
      <c r="B7" s="149" t="s">
        <v>39</v>
      </c>
      <c r="C7" s="222" t="s">
        <v>40</v>
      </c>
      <c r="D7" s="223" t="str">
        <f>'!店铺横纵向对比'!G8&amp;";"&amp;'!店铺横纵向对比'!H8</f>
        <v>2002:2;2003:2;2001:1;2004:0;1000:1;1003:1;1005:1;1002:1;1004:0;1001:0</v>
      </c>
      <c r="E7" s="224" t="str">
        <f>IF(ISBLANK('!店铺横纵向对比'!AW8),"",'!店铺横纵向对比'!AW8)</f>
        <v>4001,1012,4005,1012,4005</v>
      </c>
      <c r="F7" s="224" t="str">
        <f>'!店铺横纵向对比'!F8</f>
        <v>maxdemand:2;foodcount:31</v>
      </c>
      <c r="G7" s="224" t="str">
        <f>'!店铺横纵向对比'!E8</f>
        <v>wt:2;stp:3;wait:8</v>
      </c>
      <c r="H7" s="224" t="str">
        <f>'!店铺横纵向对比'!D8</f>
        <v>role:16;customer:1</v>
      </c>
      <c r="I7" s="224">
        <f>'!店铺横纵向对比'!AS8</f>
        <v>170</v>
      </c>
      <c r="J7" s="209" t="s">
        <v>36</v>
      </c>
      <c r="K7" s="226">
        <f>'!店铺横纵向对比'!M8</f>
        <v>0</v>
      </c>
      <c r="M7" s="226">
        <f>'!店铺横纵向对比'!N8</f>
        <v>1</v>
      </c>
      <c r="N7" s="61" t="str">
        <f>'!店铺横纵向对比'!C8</f>
        <v>1012:2;1011:0;4001:1;4004:0;4005:2;4007:0</v>
      </c>
    </row>
    <row r="8" ht="18" customHeight="1" spans="1:14">
      <c r="A8" s="61">
        <v>1</v>
      </c>
      <c r="B8" s="149" t="s">
        <v>41</v>
      </c>
      <c r="C8" s="222"/>
      <c r="D8" s="223" t="str">
        <f>'!店铺横纵向对比'!G9&amp;";"&amp;'!店铺横纵向对比'!H9</f>
        <v>2002:2;2003:2;2001:1;2004:0;1000:1;1003:1;1005:1;1002:1;1004:0;1001:0</v>
      </c>
      <c r="E8" s="224" t="str">
        <f>IF(ISBLANK('!店铺横纵向对比'!AW9),"",'!店铺横纵向对比'!AW9)</f>
        <v>4005,1012,4001,1012,4005</v>
      </c>
      <c r="F8" s="224" t="str">
        <f>'!店铺横纵向对比'!F9</f>
        <v>maxdemand:2;foodcount:28</v>
      </c>
      <c r="G8" s="224" t="str">
        <f>'!店铺横纵向对比'!E9</f>
        <v>wt:2;stp:3;wait:8</v>
      </c>
      <c r="H8" s="224" t="str">
        <f>'!店铺横纵向对比'!D9</f>
        <v>praise:14;customer:1;wash:0</v>
      </c>
      <c r="I8" s="224">
        <f>'!店铺横纵向对比'!AS9</f>
        <v>150</v>
      </c>
      <c r="J8" s="209" t="s">
        <v>36</v>
      </c>
      <c r="K8" s="226">
        <f>'!店铺横纵向对比'!M9</f>
        <v>0</v>
      </c>
      <c r="M8" s="226">
        <f>'!店铺横纵向对比'!N9</f>
        <v>1</v>
      </c>
      <c r="N8" s="61" t="str">
        <f>'!店铺横纵向对比'!C9</f>
        <v>1012:2;1011:0;4001:1;4004:0;4005:2;4007:0</v>
      </c>
    </row>
    <row r="9" ht="18" customHeight="1" spans="1:14">
      <c r="A9" s="61">
        <v>1</v>
      </c>
      <c r="B9" s="149" t="s">
        <v>42</v>
      </c>
      <c r="C9" s="222" t="s">
        <v>43</v>
      </c>
      <c r="D9" s="223" t="str">
        <f>'!店铺横纵向对比'!G10&amp;";"&amp;'!店铺横纵向对比'!H10</f>
        <v>2002:2;2003:2;2001:1;2004:0;1000:1;1003:1;1005:1;1002:1;1004:0;1001:1</v>
      </c>
      <c r="E9" s="224" t="str">
        <f>IF(ISBLANK('!店铺横纵向对比'!AW10),"",'!店铺横纵向对比'!AW10)</f>
        <v>1012,4005,4004,4001,1012,4007,4004,4004</v>
      </c>
      <c r="F9" s="224" t="str">
        <f>'!店铺横纵向对比'!F10</f>
        <v>gold:90;maxdemand:2</v>
      </c>
      <c r="G9" s="224" t="str">
        <f>'!店铺横纵向对比'!E10</f>
        <v>wt:2;stp:3;wait:8</v>
      </c>
      <c r="H9" s="224" t="str">
        <f>'!店铺横纵向对比'!D10</f>
        <v>gold:94;time:100</v>
      </c>
      <c r="I9" s="224">
        <f>'!店铺横纵向对比'!AS10</f>
        <v>0</v>
      </c>
      <c r="J9" s="209" t="s">
        <v>36</v>
      </c>
      <c r="K9" s="226">
        <f>'!店铺横纵向对比'!M10</f>
        <v>0</v>
      </c>
      <c r="M9" s="226">
        <f>'!店铺横纵向对比'!N10</f>
        <v>1</v>
      </c>
      <c r="N9" s="61" t="str">
        <f>'!店铺横纵向对比'!C10</f>
        <v>1012:2;1011:0;4001:1;4004:3;4005:1;4007:1</v>
      </c>
    </row>
    <row r="10" ht="18" customHeight="1" spans="1:14">
      <c r="A10" s="61">
        <v>1</v>
      </c>
      <c r="B10" s="149" t="s">
        <v>44</v>
      </c>
      <c r="C10" s="222"/>
      <c r="D10" s="223" t="str">
        <f>'!店铺横纵向对比'!G11&amp;";"&amp;'!店铺横纵向对比'!H11</f>
        <v>2002:2;2003:2;2001:2;2004:0;1000:1;1003:1;1005:1;1002:1;1004:0;1001:1</v>
      </c>
      <c r="E10" s="224" t="str">
        <f>IF(ISBLANK('!店铺横纵向对比'!AW11),"",'!店铺横纵向对比'!AW11)</f>
        <v>4001,4007,1012,4004,4005,1012,4004,4005</v>
      </c>
      <c r="F10" s="224" t="str">
        <f>'!店铺横纵向对比'!F11</f>
        <v>maxdemand:2;foodcount:29</v>
      </c>
      <c r="G10" s="224" t="str">
        <f>'!店铺横纵向对比'!E11</f>
        <v>wt:2;stp:3;wait:8</v>
      </c>
      <c r="H10" s="224" t="str">
        <f>'!店铺横纵向对比'!D11</f>
        <v>dish:32;customer:1;go:0</v>
      </c>
      <c r="I10" s="224">
        <f>'!店铺横纵向对比'!AS11</f>
        <v>150</v>
      </c>
      <c r="J10" s="209" t="s">
        <v>36</v>
      </c>
      <c r="K10" s="226">
        <f>'!店铺横纵向对比'!M11</f>
        <v>0</v>
      </c>
      <c r="M10" s="226">
        <f>'!店铺横纵向对比'!N11</f>
        <v>0</v>
      </c>
      <c r="N10" s="61" t="str">
        <f>'!店铺横纵向对比'!C11</f>
        <v>1012:2;1011:0;4001:1;4004:2;4005:2;4007:1</v>
      </c>
    </row>
    <row r="11" ht="18" customHeight="1" spans="1:14">
      <c r="A11" s="61">
        <v>1</v>
      </c>
      <c r="B11" s="149" t="s">
        <v>45</v>
      </c>
      <c r="C11" s="222" t="s">
        <v>46</v>
      </c>
      <c r="D11" s="223" t="str">
        <f>'!店铺横纵向对比'!G12&amp;";"&amp;'!店铺横纵向对比'!H12</f>
        <v>2002:2;2003:2;2001:2;2004:1;1000:1;1003:1;1005:1;1002:1;1004:1;1001:1</v>
      </c>
      <c r="E11" s="224" t="str">
        <f>IF(ISBLANK('!店铺横纵向对比'!AW12),"",'!店铺横纵向对比'!AW12)</f>
        <v>1011,4004,1012,4001,1011,4005,1012,4007,1012</v>
      </c>
      <c r="F11" s="224" t="str">
        <f>'!店铺横纵向对比'!F12</f>
        <v>gold:180;maxdemand:2</v>
      </c>
      <c r="G11" s="224" t="str">
        <f>'!店铺横纵向对比'!E12</f>
        <v>wt:2;stp:4;wait:6</v>
      </c>
      <c r="H11" s="224" t="str">
        <f>'!店铺横纵向对比'!D12</f>
        <v>gold:180;customer:1</v>
      </c>
      <c r="I11" s="224">
        <f>'!店铺横纵向对比'!AS12</f>
        <v>0</v>
      </c>
      <c r="J11" s="209" t="s">
        <v>36</v>
      </c>
      <c r="K11" s="226">
        <f>'!店铺横纵向对比'!M12</f>
        <v>0</v>
      </c>
      <c r="M11" s="226">
        <f>'!店铺横纵向对比'!N12</f>
        <v>1</v>
      </c>
      <c r="N11" s="61" t="str">
        <f>'!店铺横纵向对比'!C12</f>
        <v>1012:3;1011:2;4001:1;4004:1;4005:1;4007:1</v>
      </c>
    </row>
    <row r="12" ht="18" customHeight="1" spans="1:14">
      <c r="A12" s="61">
        <v>1</v>
      </c>
      <c r="B12" s="149" t="s">
        <v>47</v>
      </c>
      <c r="C12" s="222"/>
      <c r="D12" s="223" t="str">
        <f>'!店铺横纵向对比'!G13&amp;";"&amp;'!店铺横纵向对比'!H13</f>
        <v>2002:2;2003:2;2001:2;2004:1;1000:1;1003:1;1005:1;1002:1;1004:1;1001:1</v>
      </c>
      <c r="E12" s="224" t="str">
        <f>IF(ISBLANK('!店铺横纵向对比'!AW13),"",'!店铺横纵向对比'!AW13)</f>
        <v>1011,4004,4001,1012,4005,1011,4007,1012,1011,1012</v>
      </c>
      <c r="F12" s="224" t="str">
        <f>'!店铺横纵向对比'!F13</f>
        <v>gold:130;maxdemand:2</v>
      </c>
      <c r="G12" s="224" t="str">
        <f>'!店铺横纵向对比'!E13</f>
        <v>wt:2;stp:3;wait:8</v>
      </c>
      <c r="H12" s="224" t="str">
        <f>'!店铺横纵向对比'!D13</f>
        <v>role:18;time:130;char:0</v>
      </c>
      <c r="I12" s="224">
        <f>'!店铺横纵向对比'!AS13</f>
        <v>0</v>
      </c>
      <c r="J12" s="209" t="s">
        <v>36</v>
      </c>
      <c r="K12" s="226">
        <f>'!店铺横纵向对比'!M13</f>
        <v>0</v>
      </c>
      <c r="M12" s="226">
        <f>'!店铺横纵向对比'!N13</f>
        <v>1</v>
      </c>
      <c r="N12" s="61" t="str">
        <f>'!店铺横纵向对比'!C13</f>
        <v>1012:3;1011:3;4001:1;4004:1;4005:1;4007:1</v>
      </c>
    </row>
    <row r="13" ht="18" customHeight="1" spans="1:14">
      <c r="A13" s="61">
        <v>1</v>
      </c>
      <c r="B13" s="149" t="s">
        <v>48</v>
      </c>
      <c r="C13" s="222"/>
      <c r="D13" s="223" t="str">
        <f>'!店铺横纵向对比'!G14&amp;";"&amp;'!店铺横纵向对比'!H14</f>
        <v>2002:2;2003:2;2001:2;2004:1;1000:1;1003:1;1005:1;1002:1;1004:1;1001:1</v>
      </c>
      <c r="E13" s="224" t="str">
        <f>IF(ISBLANK('!店铺横纵向对比'!AW14),"",'!店铺横纵向对比'!AW14)</f>
        <v>4001,1011,1012,4005,1011,4004,1012,4007,1011,1012</v>
      </c>
      <c r="F13" s="224" t="str">
        <f>'!店铺横纵向对比'!F14</f>
        <v>maxdemand:2;foodcount:33</v>
      </c>
      <c r="G13" s="224" t="str">
        <f>'!店铺横纵向对比'!E14</f>
        <v>wt:2;stp:4;wait:8</v>
      </c>
      <c r="H13" s="224" t="str">
        <f>'!店铺横纵向对比'!D14</f>
        <v>praise:17;customer:1;wash:0</v>
      </c>
      <c r="I13" s="224">
        <f>'!店铺横纵向对比'!AS14</f>
        <v>180</v>
      </c>
      <c r="J13" s="209" t="s">
        <v>36</v>
      </c>
      <c r="K13" s="226">
        <f>'!店铺横纵向对比'!M14</f>
        <v>0</v>
      </c>
      <c r="M13" s="226">
        <f>'!店铺横纵向对比'!N14</f>
        <v>0</v>
      </c>
      <c r="N13" s="61" t="str">
        <f>'!店铺横纵向对比'!C14</f>
        <v>1012:3;1011:3;4001:1;4004:1;4005:1;4007:1</v>
      </c>
    </row>
    <row r="14" ht="18" customHeight="1" spans="1:14">
      <c r="A14" s="61">
        <v>1</v>
      </c>
      <c r="B14" s="149" t="s">
        <v>49</v>
      </c>
      <c r="C14" s="222"/>
      <c r="D14" s="223" t="str">
        <f>'!店铺横纵向对比'!G15&amp;";"&amp;'!店铺横纵向对比'!H15</f>
        <v>2002:2;2003:2;2001:2;2004:1;1000:2;1003:2;1005:2;1002:2;1004:1;1001:2</v>
      </c>
      <c r="E14" s="224" t="str">
        <f>IF(ISBLANK('!店铺横纵向对比'!AW15),"",'!店铺横纵向对比'!AW15)</f>
        <v>4001,1011,1012,4004,1011,1012,4005,1011,1012,4007</v>
      </c>
      <c r="F14" s="224" t="str">
        <f>'!店铺横纵向对比'!F15</f>
        <v>gold:180;maxdemand:2</v>
      </c>
      <c r="G14" s="224" t="str">
        <f>'!店铺横纵向对比'!E15</f>
        <v>wt:2;stp:4;wait:8</v>
      </c>
      <c r="H14" s="224" t="str">
        <f>'!店铺横纵向对比'!D15</f>
        <v>gold:187;time:100</v>
      </c>
      <c r="I14" s="224">
        <f>'!店铺横纵向对比'!AS15</f>
        <v>0</v>
      </c>
      <c r="J14" s="209" t="s">
        <v>36</v>
      </c>
      <c r="K14" s="226">
        <f>'!店铺横纵向对比'!M15</f>
        <v>0</v>
      </c>
      <c r="M14" s="226">
        <f>'!店铺横纵向对比'!N15</f>
        <v>1</v>
      </c>
      <c r="N14" s="61" t="str">
        <f>'!店铺横纵向对比'!C15</f>
        <v>1012:3;1011:3;4001:1;4004:1;4005:1;4007:1</v>
      </c>
    </row>
    <row r="15" ht="18" customHeight="1" spans="1:14">
      <c r="A15" s="61">
        <v>1</v>
      </c>
      <c r="B15" s="149" t="s">
        <v>50</v>
      </c>
      <c r="C15" s="222"/>
      <c r="D15" s="223" t="str">
        <f>'!店铺横纵向对比'!G16&amp;";"&amp;'!店铺横纵向对比'!H16</f>
        <v>2002:2;2003:3;2001:2;2004:2;1000:2;1003:2;1005:2;1002:2;1004:2;1001:2</v>
      </c>
      <c r="E15" s="224" t="str">
        <f>IF(ISBLANK('!店铺横纵向对比'!AW16),"",'!店铺横纵向对比'!AW16)</f>
        <v>4005,1012,4001,1011,4004,1012,4005,1011,4007,4001,1011,1012,4004,1011,4007</v>
      </c>
      <c r="F15" s="224" t="str">
        <f>'!店铺横纵向对比'!F16</f>
        <v>gold:195;maxdemand:2</v>
      </c>
      <c r="G15" s="224" t="str">
        <f>'!店铺横纵向对比'!E16</f>
        <v>wt:2;stp:4;wait:8</v>
      </c>
      <c r="H15" s="224" t="str">
        <f>'!店铺横纵向对比'!D16</f>
        <v>gold:195;customer:1;char:0</v>
      </c>
      <c r="I15" s="224">
        <f>'!店铺横纵向对比'!AS16</f>
        <v>0</v>
      </c>
      <c r="J15" s="209" t="s">
        <v>36</v>
      </c>
      <c r="K15" s="226">
        <f>'!店铺横纵向对比'!M16</f>
        <v>0</v>
      </c>
      <c r="M15" s="226">
        <f>'!店铺横纵向对比'!N16</f>
        <v>0</v>
      </c>
      <c r="N15" s="61" t="str">
        <f>'!店铺横纵向对比'!C16</f>
        <v>1012:3;1011:4;4001:2;4004:2;4005:2;4007:2</v>
      </c>
    </row>
    <row r="16" ht="18" customHeight="1" spans="1:14">
      <c r="A16" s="61">
        <v>1</v>
      </c>
      <c r="B16" s="149" t="s">
        <v>51</v>
      </c>
      <c r="C16" s="222"/>
      <c r="D16" s="223" t="str">
        <f>'!店铺横纵向对比'!G17&amp;";"&amp;'!店铺横纵向对比'!H17</f>
        <v>2002:2;2003:3;2001:2;2004:2;1000:2;1003:3;1005:2;1002:2;1004:2;1001:2</v>
      </c>
      <c r="E16" s="224" t="str">
        <f>IF(ISBLANK('!店铺横纵向对比'!AW17),"",'!店铺横纵向对比'!AW17)</f>
        <v>4001,1011,4004,1012,4005,1011,1012,4007,1012,1011,4001,4004,1011,4005,4007</v>
      </c>
      <c r="F16" s="224" t="str">
        <f>'!店铺横纵向对比'!F17</f>
        <v>maxdemand:2;foodcount:80</v>
      </c>
      <c r="G16" s="224" t="str">
        <f>'!店铺横纵向对比'!E17</f>
        <v>wt:2;stp:4;wait:8</v>
      </c>
      <c r="H16" s="224" t="str">
        <f>'!店铺横纵向对比'!D17</f>
        <v>role:40;customer:1</v>
      </c>
      <c r="I16" s="224">
        <f>'!店铺横纵向对比'!AS17</f>
        <v>245</v>
      </c>
      <c r="J16" s="209" t="s">
        <v>36</v>
      </c>
      <c r="K16" s="226">
        <f>'!店铺横纵向对比'!M17</f>
        <v>0</v>
      </c>
      <c r="M16" s="226">
        <f>'!店铺横纵向对比'!N17</f>
        <v>1</v>
      </c>
      <c r="N16" s="61" t="str">
        <f>'!店铺横纵向对比'!C17</f>
        <v>1012:3;1011:4;4001:2;4004:2;4005:2;4007:2</v>
      </c>
    </row>
    <row r="17" ht="18" customHeight="1" spans="1:14">
      <c r="A17" s="61">
        <v>1</v>
      </c>
      <c r="B17" s="149" t="s">
        <v>52</v>
      </c>
      <c r="C17" s="222"/>
      <c r="D17" s="223" t="str">
        <f>'!店铺横纵向对比'!G18&amp;";"&amp;'!店铺横纵向对比'!H18</f>
        <v>2002:2;2003:3;2001:3;2004:2;1000:3;1003:3;1005:3;1002:2;1004:2;1001:2</v>
      </c>
      <c r="E17" s="224" t="str">
        <f>IF(ISBLANK('!店铺横纵向对比'!AW18),"",'!店铺横纵向对比'!AW18)</f>
        <v>4004,4005,1011,1012,4001,4004,1011,4007,1012,4001,1011,4005,1012,4007,1011,1012</v>
      </c>
      <c r="F17" s="224" t="str">
        <f>'!店铺横纵向对比'!F18</f>
        <v>gold:150;maxdemand:2</v>
      </c>
      <c r="G17" s="224" t="str">
        <f>'!店铺横纵向对比'!E18</f>
        <v>wt:2;stp:4;wait:8</v>
      </c>
      <c r="H17" s="224" t="str">
        <f>'!店铺横纵向对比'!D18</f>
        <v>dish:21;time:90;wash:0</v>
      </c>
      <c r="I17" s="224">
        <f>'!店铺横纵向对比'!AS18</f>
        <v>0</v>
      </c>
      <c r="J17" s="209" t="s">
        <v>36</v>
      </c>
      <c r="K17" s="226">
        <f>'!店铺横纵向对比'!M18</f>
        <v>0</v>
      </c>
      <c r="M17" s="226">
        <f>'!店铺横纵向对比'!N18</f>
        <v>0</v>
      </c>
      <c r="N17" s="61" t="str">
        <f>'!店铺横纵向对比'!C18</f>
        <v>1012:4;1011:4;4001:2;4004:2;4005:2;4007:2</v>
      </c>
    </row>
    <row r="18" ht="18" customHeight="1" spans="1:14">
      <c r="A18" s="61">
        <v>1</v>
      </c>
      <c r="B18" s="149" t="s">
        <v>53</v>
      </c>
      <c r="C18" s="222"/>
      <c r="D18" s="223" t="str">
        <f>'!店铺横纵向对比'!G19&amp;";"&amp;'!店铺横纵向对比'!H19</f>
        <v>2002:3;2003:3;2001:3;2004:2;1000:3;1003:3;1005:3;1002:2;1004:2;1001:2</v>
      </c>
      <c r="E18" s="224" t="str">
        <f>IF(ISBLANK('!店铺横纵向对比'!AW19),"",'!店铺横纵向对比'!AW19)</f>
        <v>4007,1011,4001,1012,4004,1011,4005,1012,4004,1012,4007,1011,4001,1011,1012,4005</v>
      </c>
      <c r="F18" s="224" t="str">
        <f>'!店铺横纵向对比'!F19</f>
        <v>gold:100;maxdemand:2</v>
      </c>
      <c r="G18" s="224" t="str">
        <f>'!店铺横纵向对比'!E19</f>
        <v>wt:2;stp:4;wait:8</v>
      </c>
      <c r="H18" s="224" t="str">
        <f>'!店铺横纵向对比'!D19</f>
        <v>gold:101;customer:1</v>
      </c>
      <c r="I18" s="224">
        <f>'!店铺横纵向对比'!AS19</f>
        <v>0</v>
      </c>
      <c r="J18" s="209" t="s">
        <v>36</v>
      </c>
      <c r="K18" s="226">
        <f>'!店铺横纵向对比'!M19</f>
        <v>0</v>
      </c>
      <c r="M18" s="226">
        <f>'!店铺横纵向对比'!N19</f>
        <v>0</v>
      </c>
      <c r="N18" s="61" t="str">
        <f>'!店铺横纵向对比'!C19</f>
        <v>1012:4;1011:4;4001:2;4004:2;4005:2;4007:2</v>
      </c>
    </row>
    <row r="19" ht="18" customHeight="1" spans="1:14">
      <c r="A19" s="61">
        <v>1</v>
      </c>
      <c r="B19" s="149" t="s">
        <v>54</v>
      </c>
      <c r="C19" s="222"/>
      <c r="D19" s="223" t="str">
        <f>'!店铺横纵向对比'!BF5&amp;";"&amp;'!店铺横纵向对比'!BG5</f>
        <v>2002:1;2003:1;2001:1;2004:0;1000:1;1003:1;1005:1;1002:0;1004:0;1001:0</v>
      </c>
      <c r="E19" s="224" t="str">
        <f>IF(ISBLANK('!店铺横纵向对比'!CV5),"",'!店铺横纵向对比'!CV5)</f>
        <v>1012,4001,4001</v>
      </c>
      <c r="F19" s="209" t="str">
        <f>'!店铺横纵向对比'!BE5</f>
        <v>maxdemand:2;foodcount:20</v>
      </c>
      <c r="G19" s="224" t="str">
        <f>'!店铺横纵向对比'!BD5</f>
        <v>wt:2;stp:2;wait:6</v>
      </c>
      <c r="H19" s="209" t="str">
        <f>'!店铺横纵向对比'!BC5</f>
        <v>role:14;customer:1</v>
      </c>
      <c r="I19" s="224">
        <f>'!店铺横纵向对比'!CR5</f>
        <v>90</v>
      </c>
      <c r="J19" s="209" t="s">
        <v>36</v>
      </c>
      <c r="K19" s="226">
        <f>'!店铺横纵向对比'!BL5</f>
        <v>0</v>
      </c>
      <c r="M19" s="226">
        <f>'!店铺横纵向对比'!BM5</f>
        <v>0</v>
      </c>
      <c r="N19" s="61" t="str">
        <f>'!店铺横纵向对比'!BB5</f>
        <v>1012:1;1011:0;4001:2;4004:0;4005:0;4007:0</v>
      </c>
    </row>
    <row r="20" ht="18" customHeight="1" spans="1:14">
      <c r="A20" s="61">
        <v>1</v>
      </c>
      <c r="B20" s="149" t="s">
        <v>55</v>
      </c>
      <c r="C20" s="222"/>
      <c r="D20" s="223" t="str">
        <f>'!店铺横纵向对比'!BF6&amp;";"&amp;'!店铺横纵向对比'!BG6</f>
        <v>2002:1;2003:1;2001:1;2004:0;1000:1;1003:1;1005:1;1002:0;1004:0;1001:0</v>
      </c>
      <c r="E20" s="224" t="str">
        <f>IF(ISBLANK('!店铺横纵向对比'!CV6),"",'!店铺横纵向对比'!CV6)</f>
        <v>4001,1012,4001</v>
      </c>
      <c r="F20" s="209" t="str">
        <f>'!店铺横纵向对比'!BE6</f>
        <v>gold:95;maxdemand:2</v>
      </c>
      <c r="G20" s="224" t="str">
        <f>'!店铺横纵向对比'!BD6</f>
        <v>wt:2;stp:2;wait:6</v>
      </c>
      <c r="H20" s="209" t="str">
        <f>'!店铺横纵向对比'!BC6</f>
        <v>gold:96;time:100</v>
      </c>
      <c r="I20" s="224">
        <f>'!店铺横纵向对比'!CR6</f>
        <v>0</v>
      </c>
      <c r="J20" s="209" t="s">
        <v>36</v>
      </c>
      <c r="K20" s="226">
        <f>'!店铺横纵向对比'!BL6</f>
        <v>0</v>
      </c>
      <c r="M20" s="226">
        <f>'!店铺横纵向对比'!BM6</f>
        <v>0</v>
      </c>
      <c r="N20" s="61" t="str">
        <f>'!店铺横纵向对比'!BB6</f>
        <v>1012:1;1011:0;4001:2;4004:0;4005:0;4007:0</v>
      </c>
    </row>
    <row r="21" ht="18" customHeight="1" spans="1:14">
      <c r="A21" s="61">
        <v>1</v>
      </c>
      <c r="B21" s="149" t="s">
        <v>56</v>
      </c>
      <c r="C21" s="222"/>
      <c r="D21" s="223" t="str">
        <f>'!店铺横纵向对比'!BF7&amp;";"&amp;'!店铺横纵向对比'!BG7</f>
        <v>2002:2;2003:2;2001:1;2004:0;1000:1;1003:1;1005:1;1002:0;1004:0;1001:0</v>
      </c>
      <c r="E21" s="224" t="str">
        <f>IF(ISBLANK('!店铺横纵向对比'!CV7),"",'!店铺横纵向对比'!CV7)</f>
        <v>4001,1012,4001</v>
      </c>
      <c r="F21" s="209" t="str">
        <f>'!店铺横纵向对比'!BE7</f>
        <v>maxdemand:2;foodcount:20</v>
      </c>
      <c r="G21" s="224" t="str">
        <f>'!店铺横纵向对比'!BD7</f>
        <v>wt:2;stp:2;wait:6</v>
      </c>
      <c r="H21" s="209" t="str">
        <f>'!店铺横纵向对比'!BC7</f>
        <v>dish:20;customer:1;go:0</v>
      </c>
      <c r="I21" s="224">
        <f>'!店铺横纵向对比'!CR7</f>
        <v>120</v>
      </c>
      <c r="J21" s="209" t="s">
        <v>36</v>
      </c>
      <c r="K21" s="226">
        <f>'!店铺横纵向对比'!BL7</f>
        <v>0</v>
      </c>
      <c r="M21" s="226">
        <f>'!店铺横纵向对比'!BM7</f>
        <v>0</v>
      </c>
      <c r="N21" s="61" t="str">
        <f>'!店铺横纵向对比'!BB7</f>
        <v>1012:1;1011:0;4001:2;4004:0;4005:0;4007:0</v>
      </c>
    </row>
    <row r="22" ht="18" customHeight="1" spans="1:14">
      <c r="A22" s="61">
        <v>1</v>
      </c>
      <c r="B22" s="149" t="s">
        <v>57</v>
      </c>
      <c r="C22" s="222"/>
      <c r="D22" s="223" t="str">
        <f>'!店铺横纵向对比'!BF8&amp;";"&amp;'!店铺横纵向对比'!BG8</f>
        <v>2002:2;2003:2;2001:1;2004:0;1000:1;1003:2;1005:1;1002:1;1004:0;1001:0</v>
      </c>
      <c r="E22" s="224" t="str">
        <f>IF(ISBLANK('!店铺横纵向对比'!CV8),"",'!店铺横纵向对比'!CV8)</f>
        <v>4001,1012,4005,1012,4001,4005,4001</v>
      </c>
      <c r="F22" s="209" t="str">
        <f>'!店铺横纵向对比'!BE8</f>
        <v>gold:100;maxdemand:2</v>
      </c>
      <c r="G22" s="224" t="str">
        <f>'!店铺横纵向对比'!BD8</f>
        <v>wt:2;stp:3;wait:6</v>
      </c>
      <c r="H22" s="209" t="str">
        <f>'!店铺横纵向对比'!BC8</f>
        <v>gold:104;customer:1</v>
      </c>
      <c r="I22" s="224">
        <f>'!店铺横纵向对比'!CR8</f>
        <v>0</v>
      </c>
      <c r="J22" s="209" t="s">
        <v>36</v>
      </c>
      <c r="K22" s="226">
        <f>'!店铺横纵向对比'!BL8</f>
        <v>0</v>
      </c>
      <c r="M22" s="226">
        <f>'!店铺横纵向对比'!BM8</f>
        <v>0</v>
      </c>
      <c r="N22" s="61" t="str">
        <f>'!店铺横纵向对比'!BB8</f>
        <v>1012:2;1011:0;4001:3;4004:0;4005:2;4007:0</v>
      </c>
    </row>
    <row r="23" ht="18" customHeight="1" spans="1:14">
      <c r="A23" s="61">
        <v>1</v>
      </c>
      <c r="B23" s="149" t="s">
        <v>58</v>
      </c>
      <c r="C23" s="222"/>
      <c r="D23" s="223" t="str">
        <f>'!店铺横纵向对比'!BF9&amp;";"&amp;'!店铺横纵向对比'!BG9</f>
        <v>2002:2;2003:2;2001:1;2004:0;1000:1;1003:2;1005:1;1002:1;1004:0;1001:0</v>
      </c>
      <c r="E23" s="224" t="str">
        <f>IF(ISBLANK('!店铺横纵向对比'!CV9),"",'!店铺横纵向对比'!CV9)</f>
        <v>4005,4001,1012,4001,4005,1012,4001</v>
      </c>
      <c r="F23" s="209" t="str">
        <f>'!店铺横纵向对比'!BE9</f>
        <v>gold:110;maxdemand:2</v>
      </c>
      <c r="G23" s="224" t="str">
        <f>'!店铺横纵向对比'!BD9</f>
        <v>wt:2;stp:3;wait:6</v>
      </c>
      <c r="H23" s="209" t="str">
        <f>'!店铺横纵向对比'!BC9</f>
        <v>role:12;time:100</v>
      </c>
      <c r="I23" s="224">
        <f>'!店铺横纵向对比'!CR9</f>
        <v>0</v>
      </c>
      <c r="J23" s="209" t="s">
        <v>36</v>
      </c>
      <c r="K23" s="226">
        <f>'!店铺横纵向对比'!BL9</f>
        <v>0</v>
      </c>
      <c r="M23" s="226">
        <f>'!店铺横纵向对比'!BM9</f>
        <v>0</v>
      </c>
      <c r="N23" s="61" t="str">
        <f>'!店铺横纵向对比'!BB9</f>
        <v>1012:2;1011:0;4001:3;4004:0;4005:2;4007:0</v>
      </c>
    </row>
    <row r="24" ht="18" customHeight="1" spans="1:14">
      <c r="A24" s="61">
        <v>1</v>
      </c>
      <c r="B24" s="149" t="s">
        <v>59</v>
      </c>
      <c r="C24" s="222"/>
      <c r="D24" s="223" t="str">
        <f>'!店铺横纵向对比'!BF10&amp;";"&amp;'!店铺横纵向对比'!BG10</f>
        <v>2002:2;2003:2;2001:1;2004:0;1000:2;1003:2;1005:1;1002:1;1004:0;1001:1</v>
      </c>
      <c r="E24" s="224" t="str">
        <f>IF(ISBLANK('!店铺横纵向对比'!CV10),"",'!店铺横纵向对比'!CV10)</f>
        <v>4007,4004,4001,1012,4005,1012,4001,4004,4004,4001</v>
      </c>
      <c r="F24" s="209" t="str">
        <f>'!店铺横纵向对比'!BE10</f>
        <v>maxdemand:3;foodcount:20</v>
      </c>
      <c r="G24" s="224" t="str">
        <f>'!店铺横纵向对比'!BD10</f>
        <v>wt:2;stp:3;wait:6</v>
      </c>
      <c r="H24" s="209" t="str">
        <f>'!店铺横纵向对比'!BC10</f>
        <v>praise:13;customer:1</v>
      </c>
      <c r="I24" s="224">
        <f>'!店铺横纵向对比'!CR10</f>
        <v>120</v>
      </c>
      <c r="J24" s="209" t="s">
        <v>36</v>
      </c>
      <c r="K24" s="226">
        <f>'!店铺横纵向对比'!BL10</f>
        <v>0</v>
      </c>
      <c r="M24" s="226">
        <f>'!店铺横纵向对比'!BM10</f>
        <v>0</v>
      </c>
      <c r="N24" s="61" t="str">
        <f>'!店铺横纵向对比'!BB10</f>
        <v>1012:2;1011:0;4001:3;4004:3;4005:1;4007:1</v>
      </c>
    </row>
    <row r="25" ht="18" customHeight="1" spans="1:14">
      <c r="A25" s="61">
        <v>1</v>
      </c>
      <c r="B25" s="149" t="s">
        <v>60</v>
      </c>
      <c r="C25" s="222"/>
      <c r="D25" s="223" t="str">
        <f>'!店铺横纵向对比'!BF11&amp;";"&amp;'!店铺横纵向对比'!BG11</f>
        <v>2002:2;2003:2;2001:2;2004:0;1000:2;1003:2;1005:1;1002:1;1004:0;1001:1</v>
      </c>
      <c r="E25" s="224" t="str">
        <f>IF(ISBLANK('!店铺横纵向对比'!CV11),"",'!店铺横纵向对比'!CV11)</f>
        <v>4007,4001,4004,1012,4005,1012,4004,4001,4005,4001</v>
      </c>
      <c r="F25" s="209" t="str">
        <f>'!店铺横纵向对比'!BE11</f>
        <v>gold:130;maxdemand:2</v>
      </c>
      <c r="G25" s="224" t="str">
        <f>'!店铺横纵向对比'!BD11</f>
        <v>wt:2;stp:3;wait:6</v>
      </c>
      <c r="H25" s="209" t="str">
        <f>'!店铺横纵向对比'!BC11</f>
        <v>gold:138;customer:1;wash:0</v>
      </c>
      <c r="I25" s="224">
        <f>'!店铺横纵向对比'!CR11</f>
        <v>0</v>
      </c>
      <c r="J25" s="209" t="s">
        <v>36</v>
      </c>
      <c r="K25" s="226">
        <f>'!店铺横纵向对比'!BL11</f>
        <v>0</v>
      </c>
      <c r="M25" s="226">
        <f>'!店铺横纵向对比'!BM11</f>
        <v>1</v>
      </c>
      <c r="N25" s="61" t="str">
        <f>'!店铺横纵向对比'!BB11</f>
        <v>1012:2;1011:0;4001:3;4004:2;4005:2;4007:1</v>
      </c>
    </row>
    <row r="26" ht="18" customHeight="1" spans="1:14">
      <c r="A26" s="61">
        <v>1</v>
      </c>
      <c r="B26" s="149" t="s">
        <v>61</v>
      </c>
      <c r="C26" s="222"/>
      <c r="D26" s="223" t="str">
        <f>'!店铺横纵向对比'!BF12&amp;";"&amp;'!店铺横纵向对比'!BG12</f>
        <v>2002:2;2003:2;2001:2;2004:1;1000:2;1003:2;1005:2;1002:1;1004:1;1001:1</v>
      </c>
      <c r="E26" s="224" t="str">
        <f>IF(ISBLANK('!店铺横纵向对比'!CV12),"",'!店铺横纵向对比'!CV12)</f>
        <v>4007,4004,1011,1012,4001,1011,1012,4005,1011,4001,1012,4001</v>
      </c>
      <c r="F26" s="209" t="str">
        <f>'!店铺横纵向对比'!BE12</f>
        <v>gold:140;maxdemand:3</v>
      </c>
      <c r="G26" s="224" t="str">
        <f>'!店铺横纵向对比'!BD12</f>
        <v>wt:2;stp:4;wait:6</v>
      </c>
      <c r="H26" s="209" t="str">
        <f>'!店铺横纵向对比'!BC12</f>
        <v>dish:28;time:100;go:0</v>
      </c>
      <c r="I26" s="224">
        <f>'!店铺横纵向对比'!CR12</f>
        <v>0</v>
      </c>
      <c r="J26" s="209" t="s">
        <v>36</v>
      </c>
      <c r="K26" s="226">
        <f>'!店铺横纵向对比'!BL12</f>
        <v>0</v>
      </c>
      <c r="M26" s="226">
        <f>'!店铺横纵向对比'!BM12</f>
        <v>0</v>
      </c>
      <c r="N26" s="61" t="str">
        <f>'!店铺横纵向对比'!BB12</f>
        <v>1012:3;1011:3;4001:3;4004:1;4005:1;4007:1</v>
      </c>
    </row>
    <row r="27" ht="18" customHeight="1" spans="1:14">
      <c r="A27" s="61">
        <v>1</v>
      </c>
      <c r="B27" s="149" t="s">
        <v>62</v>
      </c>
      <c r="C27" s="222"/>
      <c r="D27" s="223" t="str">
        <f>'!店铺横纵向对比'!BF13&amp;";"&amp;'!店铺横纵向对比'!BG13</f>
        <v>2002:2;2003:2;2001:2;2004:1;1000:2;1003:2;1005:2;1002:2;1004:1;1001:2</v>
      </c>
      <c r="E27" s="224" t="str">
        <f>IF(ISBLANK('!店铺横纵向对比'!CV13),"",'!店铺横纵向对比'!CV13)</f>
        <v>4005,4001,4001,1011,1012,1012,4004,4001,1011,4007,1012,1011</v>
      </c>
      <c r="F27" s="209" t="str">
        <f>'!店铺横纵向对比'!BE13</f>
        <v>gold:150;maxdemand:2</v>
      </c>
      <c r="G27" s="224" t="str">
        <f>'!店铺横纵向对比'!BD13</f>
        <v>wt:2;stp:4;wait:6</v>
      </c>
      <c r="H27" s="209" t="str">
        <f>'!店铺横纵向对比'!BC13</f>
        <v>gold:160;time:100</v>
      </c>
      <c r="I27" s="224">
        <f>'!店铺横纵向对比'!CR13</f>
        <v>0</v>
      </c>
      <c r="J27" s="209" t="s">
        <v>36</v>
      </c>
      <c r="K27" s="226">
        <f>'!店铺横纵向对比'!BL13</f>
        <v>0</v>
      </c>
      <c r="M27" s="226">
        <f>'!店铺横纵向对比'!BM13</f>
        <v>0</v>
      </c>
      <c r="N27" s="61" t="str">
        <f>'!店铺横纵向对比'!BB13</f>
        <v>1012:3;1011:3;4001:3;4004:1;4005:1;4007:1</v>
      </c>
    </row>
    <row r="28" ht="18" customHeight="1" spans="1:14">
      <c r="A28" s="61">
        <v>1</v>
      </c>
      <c r="B28" s="149" t="s">
        <v>63</v>
      </c>
      <c r="C28" s="222"/>
      <c r="D28" s="223" t="str">
        <f>'!店铺横纵向对比'!BF14&amp;";"&amp;'!店铺横纵向对比'!BG14</f>
        <v>2002:2;2003:2;2001:2;2004:1;1000:2;1003:2;1005:2;1002:2;1004:1;1001:2</v>
      </c>
      <c r="E28" s="224" t="str">
        <f>IF(ISBLANK('!店铺横纵向对比'!CV14),"",'!店铺横纵向对比'!CV14)</f>
        <v>1011,4001,4004,1012,4001,4005,1011,1012,4007,1012,1011,4001</v>
      </c>
      <c r="F28" s="209" t="str">
        <f>'!店铺横纵向对比'!BE14</f>
        <v>gold:160;maxdemand:3</v>
      </c>
      <c r="G28" s="224" t="str">
        <f>'!店铺横纵向对比'!BD14</f>
        <v>wt:2;stp:4;wait:6</v>
      </c>
      <c r="H28" s="209" t="str">
        <f>'!店铺横纵向对比'!BC14</f>
        <v>role:13;time:100;char:0</v>
      </c>
      <c r="I28" s="224">
        <f>'!店铺横纵向对比'!CR14</f>
        <v>0</v>
      </c>
      <c r="J28" s="209" t="s">
        <v>36</v>
      </c>
      <c r="K28" s="226">
        <f>'!店铺横纵向对比'!BL14</f>
        <v>0</v>
      </c>
      <c r="M28" s="226">
        <f>'!店铺横纵向对比'!BM14</f>
        <v>1</v>
      </c>
      <c r="N28" s="61" t="str">
        <f>'!店铺横纵向对比'!BB14</f>
        <v>1012:3;1011:3;4001:3;4004:1;4005:1;4007:1</v>
      </c>
    </row>
    <row r="29" ht="18" customHeight="1" spans="1:14">
      <c r="A29" s="61">
        <v>1</v>
      </c>
      <c r="B29" s="149" t="s">
        <v>64</v>
      </c>
      <c r="C29" s="222"/>
      <c r="D29" s="223" t="str">
        <f>'!店铺横纵向对比'!BF15&amp;";"&amp;'!店铺横纵向对比'!BG15</f>
        <v>2002:2;2003:2;2001:2;2004:2;1000:2;1003:2;1005:2;1002:3;1004:2;1001:2</v>
      </c>
      <c r="E29" s="224" t="str">
        <f>IF(ISBLANK('!店铺横纵向对比'!CV15),"",'!店铺横纵向对比'!CV15)</f>
        <v>1011,1012,1012,4001,4005,1011,1012,4004,4007,4001,1011,4001</v>
      </c>
      <c r="F29" s="209" t="str">
        <f>'!店铺横纵向对比'!BE15</f>
        <v>maxdemand:2;foodcount:20</v>
      </c>
      <c r="G29" s="224" t="str">
        <f>'!店铺横纵向对比'!BD15</f>
        <v>wt:2;stp:4;wait:6</v>
      </c>
      <c r="H29" s="209" t="str">
        <f>'!店铺横纵向对比'!BC15</f>
        <v>praise:14;customer:1;char:0</v>
      </c>
      <c r="I29" s="224">
        <f>'!店铺横纵向对比'!CR15</f>
        <v>200</v>
      </c>
      <c r="J29" s="209" t="s">
        <v>36</v>
      </c>
      <c r="K29" s="226">
        <f>'!店铺横纵向对比'!BL15</f>
        <v>0</v>
      </c>
      <c r="M29" s="226">
        <f>'!店铺横纵向对比'!BM15</f>
        <v>0</v>
      </c>
      <c r="N29" s="61" t="str">
        <f>'!店铺横纵向对比'!BB15</f>
        <v>1012:3;1011:3;4001:3;4004:1;4005:1;4007:1</v>
      </c>
    </row>
    <row r="30" ht="18" customHeight="1" spans="1:14">
      <c r="A30" s="61">
        <v>1</v>
      </c>
      <c r="B30" s="149" t="s">
        <v>65</v>
      </c>
      <c r="C30" s="222"/>
      <c r="D30" s="223" t="str">
        <f>'!店铺横纵向对比'!BF16&amp;";"&amp;'!店铺横纵向对比'!BG16</f>
        <v>2002:2;2003:3;2001:2;2004:2;1000:2;1003:2;1005:2;1002:3;1004:2;1001:3</v>
      </c>
      <c r="E30" s="224" t="str">
        <f>IF(ISBLANK('!店铺横纵向对比'!CV16),"",'!店铺横纵向对比'!CV16)</f>
        <v>4004,4001,1011,1012,1012,4004,4005,4001,1011,1012,4007,4005,4001,1011,4001,1011,4007</v>
      </c>
      <c r="F30" s="209" t="str">
        <f>'!店铺横纵向对比'!BE16</f>
        <v>gold:210;maxdemand:3</v>
      </c>
      <c r="G30" s="224" t="str">
        <f>'!店铺横纵向对比'!BD16</f>
        <v>wt:2;stp:4;wait:6</v>
      </c>
      <c r="H30" s="209" t="str">
        <f>'!店铺横纵向对比'!BC16</f>
        <v>dish:33;time:100;wash:0</v>
      </c>
      <c r="I30" s="224">
        <f>'!店铺横纵向对比'!CR16</f>
        <v>0</v>
      </c>
      <c r="J30" s="209" t="s">
        <v>36</v>
      </c>
      <c r="K30" s="226">
        <f>'!店铺横纵向对比'!BL16</f>
        <v>0</v>
      </c>
      <c r="M30" s="226">
        <f>'!店铺横纵向对比'!BM16</f>
        <v>1</v>
      </c>
      <c r="N30" s="61" t="str">
        <f>'!店铺横纵向对比'!BB16</f>
        <v>1012:3;1011:4;4001:4;4004:2;4005:2;4007:2</v>
      </c>
    </row>
    <row r="31" ht="18" customHeight="1" spans="1:14">
      <c r="A31" s="61">
        <v>1</v>
      </c>
      <c r="B31" s="149" t="s">
        <v>66</v>
      </c>
      <c r="C31" s="222"/>
      <c r="D31" s="223" t="str">
        <f>'!店铺横纵向对比'!BF17&amp;";"&amp;'!店铺横纵向对比'!BG17</f>
        <v>2002:2;2003:3;2001:2;2004:2;1000:2;1003:3;1005:2;1002:3;1004:3;1001:3</v>
      </c>
      <c r="E31" s="224" t="str">
        <f>IF(ISBLANK('!店铺横纵向对比'!CV17),"",'!店铺横纵向对比'!CV17)</f>
        <v>4001,4007,4005,4004,1011,1012,1011,1012,4001,4004,4005,4001,1011,1012,4001,1011,4007</v>
      </c>
      <c r="F31" s="209" t="str">
        <f>'!店铺横纵向对比'!BE17</f>
        <v>gold:220;maxdemand:2</v>
      </c>
      <c r="G31" s="224" t="str">
        <f>'!店铺横纵向对比'!BD17</f>
        <v>wt:2;stp:4;wait:6</v>
      </c>
      <c r="H31" s="209" t="str">
        <f>'!店铺横纵向对比'!BC17</f>
        <v>gold:210;customer:1</v>
      </c>
      <c r="I31" s="224">
        <f>'!店铺横纵向对比'!CR17</f>
        <v>0</v>
      </c>
      <c r="J31" s="209" t="s">
        <v>36</v>
      </c>
      <c r="K31" s="226">
        <f>'!店铺横纵向对比'!BL17</f>
        <v>0</v>
      </c>
      <c r="M31" s="226">
        <f>'!店铺横纵向对比'!BM17</f>
        <v>0</v>
      </c>
      <c r="N31" s="61" t="str">
        <f>'!店铺横纵向对比'!BB17</f>
        <v>1012:3;1011:4;4001:4;4004:2;4005:2;4007:2</v>
      </c>
    </row>
    <row r="32" ht="18" customHeight="1" spans="1:14">
      <c r="A32" s="61">
        <v>1</v>
      </c>
      <c r="B32" s="149" t="s">
        <v>67</v>
      </c>
      <c r="C32" s="222"/>
      <c r="D32" s="223" t="str">
        <f>'!店铺横纵向对比'!BF18&amp;";"&amp;'!店铺横纵向对比'!BG18</f>
        <v>2002:2;2003:3;2001:3;2004:2;1000:3;1003:3;1005:3;1002:3;1004:3;1001:3</v>
      </c>
      <c r="E32" s="224" t="str">
        <f>IF(ISBLANK('!店铺横纵向对比'!CV18),"",'!店铺横纵向对比'!CV18)</f>
        <v>4004,4001,1011,4001,1012,4004,4005,4007,1011,1012,1011,4001,1012,1011,4007,4001,4005,1012</v>
      </c>
      <c r="F32" s="209" t="str">
        <f>'!店铺横纵向对比'!BE18</f>
        <v>gold:230;maxdemand:3</v>
      </c>
      <c r="G32" s="224" t="str">
        <f>'!店铺横纵向对比'!BD18</f>
        <v>wt:2;stp:4;wait:6</v>
      </c>
      <c r="H32" s="209" t="str">
        <f>'!店铺横纵向对比'!BC18</f>
        <v>role:14;time:100;char:0</v>
      </c>
      <c r="I32" s="224">
        <f>'!店铺横纵向对比'!CR18</f>
        <v>0</v>
      </c>
      <c r="J32" s="209" t="s">
        <v>36</v>
      </c>
      <c r="K32" s="226">
        <f>'!店铺横纵向对比'!BL18</f>
        <v>0</v>
      </c>
      <c r="M32" s="226">
        <f>'!店铺横纵向对比'!BM18</f>
        <v>1</v>
      </c>
      <c r="N32" s="61" t="str">
        <f>'!店铺横纵向对比'!BB18</f>
        <v>1012:4;1011:4;4001:4;4004:2;4005:2;4007:2</v>
      </c>
    </row>
    <row r="33" ht="18" customHeight="1" spans="1:14">
      <c r="A33" s="61">
        <v>1</v>
      </c>
      <c r="B33" s="149" t="s">
        <v>68</v>
      </c>
      <c r="C33" s="222"/>
      <c r="D33" s="223" t="str">
        <f>'!店铺横纵向对比'!BF19&amp;";"&amp;'!店铺横纵向对比'!BG19</f>
        <v>2002:3;2003:3;2001:3;2004:2;1000:3;1003:3;1005:3;1002:3;1004:3;1001:3</v>
      </c>
      <c r="E33" s="224" t="str">
        <f>IF(ISBLANK('!店铺横纵向对比'!CV19),"",'!店铺横纵向对比'!CV19)</f>
        <v>1011,1011,4001,4001,4004,4004,1012,1012,4005,4005,1011,1011,1012,1012,4001,4001,4007,4007</v>
      </c>
      <c r="F33" s="209" t="str">
        <f>'!店铺横纵向对比'!BE19</f>
        <v>gold:240;maxdemand:2</v>
      </c>
      <c r="G33" s="224" t="str">
        <f>'!店铺横纵向对比'!BD19</f>
        <v>wt:2;stp:4;wait:6</v>
      </c>
      <c r="H33" s="209" t="str">
        <f>'!店铺横纵向对比'!BC19</f>
        <v>praise:16;time:100</v>
      </c>
      <c r="I33" s="224">
        <f>'!店铺横纵向对比'!CR19</f>
        <v>0</v>
      </c>
      <c r="J33" s="209" t="s">
        <v>36</v>
      </c>
      <c r="K33" s="226">
        <f>'!店铺横纵向对比'!BL19</f>
        <v>0</v>
      </c>
      <c r="M33" s="226">
        <f>'!店铺横纵向对比'!BM19</f>
        <v>0</v>
      </c>
      <c r="N33" s="61" t="str">
        <f>'!店铺横纵向对比'!BB19</f>
        <v>1012:4;1011:4;4001:4;4004:2;4005:2;4007:2</v>
      </c>
    </row>
    <row r="34" ht="18" customHeight="1" spans="1:14">
      <c r="A34" s="61">
        <v>1</v>
      </c>
      <c r="B34" s="149" t="s">
        <v>69</v>
      </c>
      <c r="C34" s="222"/>
      <c r="D34" s="223" t="str">
        <f>'!店铺横纵向对比'!G23&amp;";"&amp;'!店铺横纵向对比'!H23</f>
        <v>2002:1;2003:1;2001:1;2004:0;1000:1;1003:1;1005:1;1002:0;1004:0;1001:0</v>
      </c>
      <c r="E34" s="224" t="str">
        <f>IF(ISBLANK('!店铺横纵向对比'!AW23),"",'!店铺横纵向对比'!AW23)</f>
        <v>4001,1012,4001</v>
      </c>
      <c r="F34" s="209" t="str">
        <f>'!店铺横纵向对比'!F23</f>
        <v>gold:100;maxdemand:3</v>
      </c>
      <c r="G34" s="224" t="str">
        <f>'!店铺横纵向对比'!E23</f>
        <v>wt:2;stp:4;wait:8</v>
      </c>
      <c r="H34" s="209" t="str">
        <f>'!店铺横纵向对比'!D23</f>
        <v>gold:100;customer:1</v>
      </c>
      <c r="I34" s="224">
        <f>'!店铺横纵向对比'!AS23</f>
        <v>0</v>
      </c>
      <c r="J34" s="209" t="s">
        <v>36</v>
      </c>
      <c r="K34" s="226">
        <f>'!店铺横纵向对比'!M23</f>
        <v>0</v>
      </c>
      <c r="M34" s="226">
        <f>'!店铺横纵向对比'!N23</f>
        <v>0</v>
      </c>
      <c r="N34" s="61" t="str">
        <f>'!店铺横纵向对比'!C23</f>
        <v>1012:1;1011:0;4001:2;4004:0;4005:0;4007:0</v>
      </c>
    </row>
    <row r="35" ht="18" customHeight="1" spans="1:14">
      <c r="A35" s="61">
        <v>1</v>
      </c>
      <c r="B35" s="149" t="s">
        <v>70</v>
      </c>
      <c r="C35" s="222"/>
      <c r="D35" s="223" t="str">
        <f>'!店铺横纵向对比'!G24&amp;";"&amp;'!店铺横纵向对比'!H24</f>
        <v>2002:1;2003:1;2001:1;2004:0;1000:1;1003:1;1005:1;1002:0;1004:0;1001:0</v>
      </c>
      <c r="E35" s="224" t="str">
        <f>IF(ISBLANK('!店铺横纵向对比'!AW24),"",'!店铺横纵向对比'!AW24)</f>
        <v>4001,1012,4001</v>
      </c>
      <c r="F35" s="209" t="str">
        <f>'!店铺横纵向对比'!F24</f>
        <v>maxdemand:3;foodcount:13</v>
      </c>
      <c r="G35" s="224" t="str">
        <f>'!店铺横纵向对比'!E24</f>
        <v>wt:2;stp:4;wait:8</v>
      </c>
      <c r="H35" s="209" t="str">
        <f>'!店铺横纵向对比'!D24</f>
        <v>dish:13;customer:1</v>
      </c>
      <c r="I35" s="224">
        <f>'!店铺横纵向对比'!AS24</f>
        <v>130</v>
      </c>
      <c r="J35" s="209" t="s">
        <v>36</v>
      </c>
      <c r="K35" s="226">
        <f>'!店铺横纵向对比'!M24</f>
        <v>0</v>
      </c>
      <c r="M35" s="226">
        <f>'!店铺横纵向对比'!N24</f>
        <v>0</v>
      </c>
      <c r="N35" s="61" t="str">
        <f>'!店铺横纵向对比'!C24</f>
        <v>1012:1;1011:0;4001:2;4004:0;4005:0;4007:0</v>
      </c>
    </row>
    <row r="36" ht="18" customHeight="1" spans="1:14">
      <c r="A36" s="61">
        <v>1</v>
      </c>
      <c r="B36" s="149" t="s">
        <v>71</v>
      </c>
      <c r="C36" s="222"/>
      <c r="D36" s="223" t="str">
        <f>'!店铺横纵向对比'!G25&amp;";"&amp;'!店铺横纵向对比'!H25</f>
        <v>2002:2;2003:2;2001:1;2004:0;1000:1;1003:1;1005:1;1002:0;1004:0;1001:0</v>
      </c>
      <c r="E36" s="224" t="str">
        <f>IF(ISBLANK('!店铺横纵向对比'!AW25),"",'!店铺横纵向对比'!AW25)</f>
        <v>4001,1012,4001</v>
      </c>
      <c r="F36" s="209" t="str">
        <f>'!店铺横纵向对比'!F25</f>
        <v>gold:140;maxdemand:3</v>
      </c>
      <c r="G36" s="224" t="str">
        <f>'!店铺横纵向对比'!E25</f>
        <v>wt:2;stp:4;wait:8</v>
      </c>
      <c r="H36" s="209" t="str">
        <f>'!店铺横纵向对比'!D25</f>
        <v>gold:150;time:120</v>
      </c>
      <c r="I36" s="224">
        <f>'!店铺横纵向对比'!AS25</f>
        <v>0</v>
      </c>
      <c r="J36" s="209" t="s">
        <v>36</v>
      </c>
      <c r="K36" s="226">
        <f>'!店铺横纵向对比'!M25</f>
        <v>0</v>
      </c>
      <c r="M36" s="226">
        <f>'!店铺横纵向对比'!N25</f>
        <v>0</v>
      </c>
      <c r="N36" s="61" t="str">
        <f>'!店铺横纵向对比'!C25</f>
        <v>1012:1;1011:0;4001:2;4004:0;4005:0;4007:0</v>
      </c>
    </row>
    <row r="37" ht="18" customHeight="1" spans="1:14">
      <c r="A37" s="61">
        <v>1</v>
      </c>
      <c r="B37" s="149" t="s">
        <v>72</v>
      </c>
      <c r="C37" s="222"/>
      <c r="D37" s="223" t="str">
        <f>'!店铺横纵向对比'!G26&amp;";"&amp;'!店铺横纵向对比'!H26</f>
        <v>2002:2;2003:2;2001:1;2004:0;1000:1;1003:2;1005:1;1002:1;1004:0;1001:0</v>
      </c>
      <c r="E37" s="224" t="str">
        <f>IF(ISBLANK('!店铺横纵向对比'!AW26),"",'!店铺横纵向对比'!AW26)</f>
        <v>4001,1012,4005,1012,4005,4001,4001</v>
      </c>
      <c r="F37" s="209" t="str">
        <f>'!店铺横纵向对比'!F26</f>
        <v>maxdemand:3;foodcount:28</v>
      </c>
      <c r="G37" s="224" t="str">
        <f>'!店铺横纵向对比'!E26</f>
        <v>wt:2;stp:4;wait:8</v>
      </c>
      <c r="H37" s="209" t="str">
        <f>'!店铺横纵向对比'!D26</f>
        <v>role:13;customer:1</v>
      </c>
      <c r="I37" s="224">
        <f>'!店铺横纵向对比'!AS26</f>
        <v>160</v>
      </c>
      <c r="J37" s="209" t="s">
        <v>36</v>
      </c>
      <c r="K37" s="226">
        <f>'!店铺横纵向对比'!M26</f>
        <v>0</v>
      </c>
      <c r="M37" s="226">
        <f>'!店铺横纵向对比'!N26</f>
        <v>0</v>
      </c>
      <c r="N37" s="61" t="str">
        <f>'!店铺横纵向对比'!C26</f>
        <v>1012:2;1011:0;4001:3;4004:0;4005:2;4007:0</v>
      </c>
    </row>
    <row r="38" ht="18" customHeight="1" spans="1:14">
      <c r="A38" s="61">
        <v>1</v>
      </c>
      <c r="B38" s="149" t="s">
        <v>73</v>
      </c>
      <c r="C38" s="222"/>
      <c r="D38" s="223" t="str">
        <f>'!店铺横纵向对比'!G27&amp;";"&amp;'!店铺横纵向对比'!H27</f>
        <v>2002:2;2003:2;2001:1;2004:0;1000:1;1003:2;1005:1;1002:1;1004:0;1001:0</v>
      </c>
      <c r="E38" s="224" t="str">
        <f>IF(ISBLANK('!店铺横纵向对比'!AW27),"",'!店铺横纵向对比'!AW27)</f>
        <v>4005,4001,1012,1012,4005,1012,4001,4001</v>
      </c>
      <c r="F38" s="209" t="str">
        <f>'!店铺横纵向对比'!F27</f>
        <v>maxdemand:3;foodcount:31</v>
      </c>
      <c r="G38" s="224" t="str">
        <f>'!店铺横纵向对比'!E27</f>
        <v>wt:2;stp:4;wait:8</v>
      </c>
      <c r="H38" s="209" t="str">
        <f>'!店铺横纵向对比'!D27</f>
        <v>praise:11;customer:1;wash:0</v>
      </c>
      <c r="I38" s="224">
        <f>'!店铺横纵向对比'!AS27</f>
        <v>170</v>
      </c>
      <c r="J38" s="209" t="s">
        <v>36</v>
      </c>
      <c r="K38" s="226">
        <f>'!店铺横纵向对比'!M27</f>
        <v>0</v>
      </c>
      <c r="M38" s="226">
        <f>'!店铺横纵向对比'!N27</f>
        <v>0</v>
      </c>
      <c r="N38" s="61" t="str">
        <f>'!店铺横纵向对比'!C27</f>
        <v>1012:3;1011:0;4001:3;4004:0;4005:2;4007:0</v>
      </c>
    </row>
    <row r="39" ht="18" customHeight="1" spans="1:14">
      <c r="A39" s="61">
        <v>1</v>
      </c>
      <c r="B39" s="149" t="s">
        <v>74</v>
      </c>
      <c r="C39" s="222"/>
      <c r="D39" s="223" t="str">
        <f>'!店铺横纵向对比'!G28&amp;";"&amp;'!店铺横纵向对比'!H28</f>
        <v>2002:2;2003:2;2001:1;2004:0;1000:2;1003:2;1005:1;1002:1;1004:0;1001:1</v>
      </c>
      <c r="E39" s="224" t="str">
        <f>IF(ISBLANK('!店铺横纵向对比'!AW28),"",'!店铺横纵向对比'!AW28)</f>
        <v>4005,4001,1012,4007,4004,4004,1012,1012,4001,4001</v>
      </c>
      <c r="F39" s="209" t="str">
        <f>'!店铺横纵向对比'!F28</f>
        <v>gold:100;maxdemand:3</v>
      </c>
      <c r="G39" s="224" t="str">
        <f>'!店铺横纵向对比'!E28</f>
        <v>wt:2;stp:4;wait:8</v>
      </c>
      <c r="H39" s="209" t="str">
        <f>'!店铺横纵向对比'!D28</f>
        <v>gold:110;time:120</v>
      </c>
      <c r="I39" s="224">
        <f>'!店铺横纵向对比'!AS28</f>
        <v>0</v>
      </c>
      <c r="J39" s="209" t="s">
        <v>36</v>
      </c>
      <c r="K39" s="226">
        <f>'!店铺横纵向对比'!M28</f>
        <v>0</v>
      </c>
      <c r="M39" s="226">
        <f>'!店铺横纵向对比'!N28</f>
        <v>0</v>
      </c>
      <c r="N39" s="61" t="str">
        <f>'!店铺横纵向对比'!C28</f>
        <v>1012:3;1011:0;4001:3;4004:2;4005:1;4007:1</v>
      </c>
    </row>
    <row r="40" ht="18" customHeight="1" spans="1:14">
      <c r="A40" s="61">
        <v>1</v>
      </c>
      <c r="B40" s="149" t="s">
        <v>75</v>
      </c>
      <c r="C40" s="222"/>
      <c r="D40" s="223" t="str">
        <f>'!店铺横纵向对比'!G29&amp;";"&amp;'!店铺横纵向对比'!H29</f>
        <v>2002:2;2003:2;2001:2;2004:0;1000:2;1003:3;1005:1;1002:1;1004:0;1001:1</v>
      </c>
      <c r="E40" s="224" t="str">
        <f>IF(ISBLANK('!店铺横纵向对比'!AW29),"",'!店铺横纵向对比'!AW29)</f>
        <v>4005,4001,1012,4007,4004,1012,4005,4004,4001,1012,4001</v>
      </c>
      <c r="F40" s="209" t="str">
        <f>'!店铺横纵向对比'!F29</f>
        <v>maxdemand:3;foodcount:18</v>
      </c>
      <c r="G40" s="224" t="str">
        <f>'!店铺横纵向对比'!E29</f>
        <v>wt:2;stp:4;wait:8</v>
      </c>
      <c r="H40" s="209" t="str">
        <f>'!店铺横纵向对比'!D29</f>
        <v>dish:18;customer:1;go:0</v>
      </c>
      <c r="I40" s="224">
        <f>'!店铺横纵向对比'!AS29</f>
        <v>190</v>
      </c>
      <c r="J40" s="209" t="s">
        <v>36</v>
      </c>
      <c r="K40" s="226">
        <f>'!店铺横纵向对比'!M29</f>
        <v>0</v>
      </c>
      <c r="M40" s="226">
        <f>'!店铺横纵向对比'!N29</f>
        <v>0</v>
      </c>
      <c r="N40" s="61" t="str">
        <f>'!店铺横纵向对比'!C29</f>
        <v>1012:3;1011:0;4001:3;4004:2;4005:2;4007:1</v>
      </c>
    </row>
    <row r="41" ht="18" customHeight="1" spans="1:14">
      <c r="A41" s="61">
        <v>1</v>
      </c>
      <c r="B41" s="149" t="s">
        <v>76</v>
      </c>
      <c r="C41" s="222"/>
      <c r="D41" s="223" t="str">
        <f>'!店铺横纵向对比'!G30&amp;";"&amp;'!店铺横纵向对比'!H30</f>
        <v>2002:2;2003:2;2001:2;2004:1;1000:2;1003:3;1005:2;1002:1;1004:1;1001:1</v>
      </c>
      <c r="E41" s="224" t="str">
        <f>IF(ISBLANK('!店铺横纵向对比'!AW30),"",'!店铺横纵向对比'!AW30)</f>
        <v>4007,4005,1011,1012,1011,4004,1011,1012,1012,1012,4007,4001,4001,4001,4001</v>
      </c>
      <c r="F41" s="209" t="str">
        <f>'!店铺横纵向对比'!F30</f>
        <v>gold:100;maxdemand:3</v>
      </c>
      <c r="G41" s="224" t="str">
        <f>'!店铺横纵向对比'!E30</f>
        <v>wt:2;stp:4;wait:8</v>
      </c>
      <c r="H41" s="209" t="str">
        <f>'!店铺横纵向对比'!D30</f>
        <v>gold:110;customer:1</v>
      </c>
      <c r="I41" s="224">
        <f>'!店铺横纵向对比'!AS30</f>
        <v>0</v>
      </c>
      <c r="J41" s="209" t="s">
        <v>36</v>
      </c>
      <c r="K41" s="226">
        <f>'!店铺横纵向对比'!M30</f>
        <v>0</v>
      </c>
      <c r="M41" s="226">
        <f>'!店铺横纵向对比'!N30</f>
        <v>0</v>
      </c>
      <c r="N41" s="61" t="str">
        <f>'!店铺横纵向对比'!C30</f>
        <v>1012:4;1011:3;4001:4;4004:1;4005:1;4007:2</v>
      </c>
    </row>
    <row r="42" ht="18" customHeight="1" spans="1:14">
      <c r="A42" s="61">
        <v>1</v>
      </c>
      <c r="B42" s="149" t="s">
        <v>77</v>
      </c>
      <c r="C42" s="222"/>
      <c r="D42" s="223" t="str">
        <f>'!店铺横纵向对比'!G31&amp;";"&amp;'!店铺横纵向对比'!H31</f>
        <v>2002:2;2003:2;2001:2;2004:1;1000:3;1003:3;1005:2;1002:2;1004:2;1001:2</v>
      </c>
      <c r="E42" s="224" t="str">
        <f>IF(ISBLANK('!店铺横纵向对比'!AW31),"",'!店铺横纵向对比'!AW31)</f>
        <v>4001,1011,1012,4004,1012,4005,1011,4007,1011,1012,1012,4001,4007,4001,4001</v>
      </c>
      <c r="F42" s="209" t="str">
        <f>'!店铺横纵向对比'!F31</f>
        <v>gold:210;maxdemand:3</v>
      </c>
      <c r="G42" s="224" t="str">
        <f>'!店铺横纵向对比'!E31</f>
        <v>wt:2;stp:4;wait:8</v>
      </c>
      <c r="H42" s="209" t="str">
        <f>'!店铺横纵向对比'!D31</f>
        <v>role:12;time:120;char:0</v>
      </c>
      <c r="I42" s="224">
        <f>'!店铺横纵向对比'!AS31</f>
        <v>0</v>
      </c>
      <c r="J42" s="209" t="s">
        <v>36</v>
      </c>
      <c r="K42" s="226">
        <f>'!店铺横纵向对比'!M31</f>
        <v>0</v>
      </c>
      <c r="M42" s="226">
        <f>'!店铺横纵向对比'!N31</f>
        <v>0</v>
      </c>
      <c r="N42" s="61" t="str">
        <f>'!店铺横纵向对比'!C31</f>
        <v>1012:4;1011:3;4001:4;4004:1;4005:1;4007:2</v>
      </c>
    </row>
    <row r="43" ht="18" customHeight="1" spans="1:14">
      <c r="A43" s="61">
        <v>1</v>
      </c>
      <c r="B43" s="149" t="s">
        <v>78</v>
      </c>
      <c r="C43" s="222"/>
      <c r="D43" s="223" t="str">
        <f>'!店铺横纵向对比'!G32&amp;";"&amp;'!店铺横纵向对比'!H32</f>
        <v>2002:2;2003:2;2001:2;2004:1;1000:3;1003:3;1005:3;1002:2;1004:2;1001:2</v>
      </c>
      <c r="E43" s="224" t="str">
        <f>IF(ISBLANK('!店铺横纵向对比'!AW32),"",'!店铺横纵向对比'!AW32)</f>
        <v>1011,4001,1012,4004,1012,1011,4005,1011,4007,1012,4007,4004,1012,4001,4001,4007,4001</v>
      </c>
      <c r="F43" s="209" t="str">
        <f>'!店铺横纵向对比'!F32</f>
        <v>maxdemand:3;foodcount:23</v>
      </c>
      <c r="G43" s="224" t="str">
        <f>'!店铺横纵向对比'!E32</f>
        <v>wt:2;stp:4;wait:8</v>
      </c>
      <c r="H43" s="209" t="str">
        <f>'!店铺横纵向对比'!D32</f>
        <v>praise:12;customer:1;wash:0</v>
      </c>
      <c r="I43" s="224">
        <f>'!店铺横纵向对比'!AS32</f>
        <v>190</v>
      </c>
      <c r="J43" s="209" t="s">
        <v>36</v>
      </c>
      <c r="K43" s="226">
        <f>'!店铺横纵向对比'!M32</f>
        <v>10</v>
      </c>
      <c r="M43" s="226">
        <f>'!店铺横纵向对比'!N32</f>
        <v>0</v>
      </c>
      <c r="N43" s="61" t="str">
        <f>'!店铺横纵向对比'!C32</f>
        <v>1012:4;1011:3;4001:4;4004:2;4005:1;4007:3</v>
      </c>
    </row>
    <row r="44" ht="18" customHeight="1" spans="1:14">
      <c r="A44" s="61">
        <v>1</v>
      </c>
      <c r="B44" s="149" t="s">
        <v>79</v>
      </c>
      <c r="C44" s="222"/>
      <c r="D44" s="223" t="str">
        <f>'!店铺横纵向对比'!G33&amp;";"&amp;'!店铺横纵向对比'!H33</f>
        <v>2002:2;2003:2;2001:2;2004:3;1000:3;1003:3;1005:3;1002:3;1004:2;1001:2</v>
      </c>
      <c r="E44" s="224" t="str">
        <f>IF(ISBLANK('!店铺横纵向对比'!AW33),"",'!店铺横纵向对比'!AW33)</f>
        <v>1011,4001,1012,4004,1011,4007,1012,4005,1012,1011,1012,4001,1012,4007,4001,4001,4007</v>
      </c>
      <c r="F44" s="209" t="str">
        <f>'!店铺横纵向对比'!F33</f>
        <v>gold:140;maxdemand:3</v>
      </c>
      <c r="G44" s="224" t="str">
        <f>'!店铺横纵向对比'!E33</f>
        <v>wt:2;stp:4;wait:8</v>
      </c>
      <c r="H44" s="209" t="str">
        <f>'!店铺横纵向对比'!D33</f>
        <v>gold:140;time:120</v>
      </c>
      <c r="I44" s="224">
        <f>'!店铺横纵向对比'!AS33</f>
        <v>0</v>
      </c>
      <c r="J44" s="209" t="s">
        <v>36</v>
      </c>
      <c r="K44" s="226">
        <f>'!店铺横纵向对比'!M33</f>
        <v>0</v>
      </c>
      <c r="M44" s="226">
        <f>'!店铺横纵向对比'!N33</f>
        <v>0</v>
      </c>
      <c r="N44" s="61" t="str">
        <f>'!店铺横纵向对比'!C33</f>
        <v>1012:5;1011:3;4001:4;4004:1;4005:1;4007:3</v>
      </c>
    </row>
    <row r="45" ht="18" customHeight="1" spans="1:14">
      <c r="A45" s="61">
        <v>1</v>
      </c>
      <c r="B45" s="149" t="s">
        <v>80</v>
      </c>
      <c r="C45" s="222"/>
      <c r="D45" s="223" t="str">
        <f>'!店铺横纵向对比'!G34&amp;";"&amp;'!店铺横纵向对比'!H34</f>
        <v>2002:2;2003:3;2001:2;2004:3;1000:3;1003:3;1005:3;1002:3;1004:2;1001:3</v>
      </c>
      <c r="E45" s="224" t="str">
        <f>IF(ISBLANK('!店铺横纵向对比'!AW34),"",'!店铺横纵向对比'!AW34)</f>
        <v>4001,4004,4007,1011,1012,4004,1011,4001,1012,1011,4005,1011,4007,1012,4005</v>
      </c>
      <c r="F45" s="209" t="str">
        <f>'!店铺横纵向对比'!F34</f>
        <v>gold:150;maxdemand:3</v>
      </c>
      <c r="G45" s="224" t="str">
        <f>'!店铺横纵向对比'!E34</f>
        <v>wt:2;stp:4;wait:8</v>
      </c>
      <c r="H45" s="209" t="str">
        <f>'!店铺横纵向对比'!D34</f>
        <v>gold:160;customer:1;char:0</v>
      </c>
      <c r="I45" s="224">
        <f>'!店铺横纵向对比'!AS34</f>
        <v>0</v>
      </c>
      <c r="J45" s="209" t="s">
        <v>36</v>
      </c>
      <c r="K45" s="226">
        <f>'!店铺横纵向对比'!M34</f>
        <v>0</v>
      </c>
      <c r="M45" s="226">
        <f>'!店铺横纵向对比'!N34</f>
        <v>0</v>
      </c>
      <c r="N45" s="61" t="str">
        <f>'!店铺横纵向对比'!C34</f>
        <v>1012:5;1011:4;4001:5;4004:2;4005:2;4007:4</v>
      </c>
    </row>
    <row r="46" ht="18" customHeight="1" spans="1:14">
      <c r="A46" s="61">
        <v>1</v>
      </c>
      <c r="B46" s="149" t="s">
        <v>81</v>
      </c>
      <c r="C46" s="222"/>
      <c r="D46" s="223" t="str">
        <f>'!店铺横纵向对比'!G35&amp;";"&amp;'!店铺横纵向对比'!H35</f>
        <v>2002:2;2003:3;2001:3;2004:3;1000:3;1003:3;1005:3;1002:3;1004:3;1001:3</v>
      </c>
      <c r="E46" s="224" t="str">
        <f>IF(ISBLANK('!店铺横纵向对比'!AW35),"",'!店铺横纵向对比'!AW35)</f>
        <v>4004,4001,1011,1012,4001,4005,4007,1011,1012,4004,1011,4005,1011,1012,4007</v>
      </c>
      <c r="F46" s="209" t="str">
        <f>'!店铺横纵向对比'!F35</f>
        <v>maxdemand:3;foodcount:21</v>
      </c>
      <c r="G46" s="224" t="str">
        <f>'!店铺横纵向对比'!E35</f>
        <v>wt:2;stp:4;wait:8</v>
      </c>
      <c r="H46" s="209" t="str">
        <f>'!店铺横纵向对比'!D35</f>
        <v>role:10;customer:1</v>
      </c>
      <c r="I46" s="224">
        <f>'!店铺横纵向对比'!AS35</f>
        <v>190</v>
      </c>
      <c r="J46" s="209" t="s">
        <v>36</v>
      </c>
      <c r="K46" s="226">
        <f>'!店铺横纵向对比'!M35</f>
        <v>0</v>
      </c>
      <c r="M46" s="226">
        <f>'!店铺横纵向对比'!N35</f>
        <v>0</v>
      </c>
      <c r="N46" s="61" t="str">
        <f>'!店铺横纵向对比'!C35</f>
        <v>1012:5;1011:4;4001:5;4004:3;4005:2;4007:4</v>
      </c>
    </row>
    <row r="47" ht="18" customHeight="1" spans="1:14">
      <c r="A47" s="61">
        <v>1</v>
      </c>
      <c r="B47" s="149" t="s">
        <v>82</v>
      </c>
      <c r="C47" s="222"/>
      <c r="D47" s="223" t="str">
        <f>'!店铺横纵向对比'!G36&amp;";"&amp;'!店铺横纵向对比'!H36</f>
        <v>2002:3;2003:3;2001:3;2004:3;1000:3;1003:3;1005:3;1002:3;1004:3;1001:3</v>
      </c>
      <c r="E47" s="224" t="str">
        <f>IF(ISBLANK('!店铺横纵向对比'!AW36),"",'!店铺横纵向对比'!AW36)</f>
        <v>1011,4001,4004,1012,4001,4004,4005,1011,1012,4005,1012,4007,1011,1012,4007,1011</v>
      </c>
      <c r="F47" s="209" t="str">
        <f>'!店铺横纵向对比'!F36</f>
        <v>gold:200;maxdemand:3</v>
      </c>
      <c r="G47" s="224" t="str">
        <f>'!店铺横纵向对比'!E36</f>
        <v>wt:2;stp:4;wait:8</v>
      </c>
      <c r="H47" s="209" t="str">
        <f>'!店铺横纵向对比'!D36</f>
        <v>dish:26;time:120;wash:0</v>
      </c>
      <c r="I47" s="224">
        <f>'!店铺横纵向对比'!AS36</f>
        <v>0</v>
      </c>
      <c r="J47" s="209" t="s">
        <v>36</v>
      </c>
      <c r="K47" s="226">
        <f>'!店铺横纵向对比'!M36</f>
        <v>0</v>
      </c>
      <c r="M47" s="226">
        <f>'!店铺横纵向对比'!N36</f>
        <v>0</v>
      </c>
      <c r="N47" s="61" t="str">
        <f>'!店铺横纵向对比'!C36</f>
        <v>1012:4;1011:4;4001:5;4004:3;4005:3;4007:4</v>
      </c>
    </row>
    <row r="48" ht="18" customHeight="1" spans="1:14">
      <c r="A48" s="61">
        <v>1</v>
      </c>
      <c r="B48" s="149" t="s">
        <v>83</v>
      </c>
      <c r="C48" s="222"/>
      <c r="D48" s="223" t="str">
        <f>'!店铺横纵向对比'!G37&amp;";"&amp;'!店铺横纵向对比'!H37</f>
        <v>2002:3;2003:3;2001:3;2004:3;1000:3;1003:3;1005:3;1002:3;1004:3;1001:3</v>
      </c>
      <c r="E48" s="224" t="str">
        <f>IF(ISBLANK('!店铺横纵向对比'!AW37),"",'!店铺横纵向对比'!AW37)</f>
        <v>4005,4005,4001,1011,1012,4001,4004,1011,1012,4004,1012,1011,4007,1011,4007,1012</v>
      </c>
      <c r="F48" s="209" t="str">
        <f>'!店铺横纵向对比'!F37</f>
        <v>gold:260;maxdemand:3</v>
      </c>
      <c r="G48" s="224" t="str">
        <f>'!店铺横纵向对比'!E37</f>
        <v>wt:2;stp:4;wait:8</v>
      </c>
      <c r="H48" s="209" t="str">
        <f>'!店铺横纵向对比'!D37</f>
        <v>gold:260;customer:1</v>
      </c>
      <c r="I48" s="224">
        <f>'!店铺横纵向对比'!AS37</f>
        <v>0</v>
      </c>
      <c r="J48" s="209" t="s">
        <v>36</v>
      </c>
      <c r="K48" s="226">
        <f>'!店铺横纵向对比'!M37</f>
        <v>15</v>
      </c>
      <c r="L48" s="231" t="s">
        <v>84</v>
      </c>
      <c r="M48" s="226">
        <f>'!店铺横纵向对比'!N37</f>
        <v>1</v>
      </c>
      <c r="N48" s="61" t="str">
        <f>'!店铺横纵向对比'!C37</f>
        <v>1012:4;1011:4;4001:5;4004:3;4005:3;4007:4</v>
      </c>
    </row>
  </sheetData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I24"/>
  <sheetViews>
    <sheetView workbookViewId="0">
      <selection activeCell="F6" sqref="F6"/>
    </sheetView>
  </sheetViews>
  <sheetFormatPr defaultColWidth="9" defaultRowHeight="14.25"/>
  <cols>
    <col min="2" max="2" width="9.7" customWidth="1"/>
    <col min="3" max="3" width="13.0833333333333" customWidth="1"/>
    <col min="4" max="4" width="64.4083333333333" customWidth="1"/>
    <col min="5" max="5" width="19.7" customWidth="1"/>
    <col min="6" max="6" width="51.175" customWidth="1"/>
    <col min="7" max="7" width="25.0833333333333" customWidth="1"/>
    <col min="8" max="8" width="16.9083333333333" customWidth="1"/>
  </cols>
  <sheetData>
    <row r="1" spans="1:9">
      <c r="A1" s="196" t="s">
        <v>85</v>
      </c>
      <c r="B1" s="198" t="s">
        <v>0</v>
      </c>
      <c r="C1" s="173" t="s">
        <v>86</v>
      </c>
      <c r="D1" s="173"/>
      <c r="E1" s="173"/>
      <c r="F1" s="174" t="s">
        <v>87</v>
      </c>
      <c r="G1" s="199" t="s">
        <v>88</v>
      </c>
      <c r="H1" s="200" t="s">
        <v>89</v>
      </c>
      <c r="I1" t="s">
        <v>90</v>
      </c>
    </row>
    <row r="2" ht="127" customHeight="1" spans="1:7">
      <c r="A2" s="196" t="s">
        <v>91</v>
      </c>
      <c r="B2" s="196"/>
      <c r="C2" s="173" t="s">
        <v>92</v>
      </c>
      <c r="D2" s="173" t="s">
        <v>93</v>
      </c>
      <c r="E2" s="173" t="s">
        <v>94</v>
      </c>
      <c r="F2" s="174" t="s">
        <v>95</v>
      </c>
      <c r="G2" s="190" t="s">
        <v>96</v>
      </c>
    </row>
    <row r="3" spans="1:6">
      <c r="A3" s="145" t="s">
        <v>21</v>
      </c>
      <c r="B3" s="39" t="s">
        <v>20</v>
      </c>
      <c r="C3" s="176" t="s">
        <v>32</v>
      </c>
      <c r="D3" s="176" t="s">
        <v>97</v>
      </c>
      <c r="E3" s="176" t="s">
        <v>98</v>
      </c>
      <c r="F3" s="201" t="s">
        <v>99</v>
      </c>
    </row>
    <row r="4" ht="134" customHeight="1" spans="1:7">
      <c r="A4" s="202">
        <v>2001</v>
      </c>
      <c r="B4" s="181">
        <v>1</v>
      </c>
      <c r="C4" s="180" t="s">
        <v>100</v>
      </c>
      <c r="D4" s="181" t="s">
        <v>101</v>
      </c>
      <c r="E4" s="168" t="s">
        <v>102</v>
      </c>
      <c r="F4" s="203" t="str">
        <f>'!1经济'!L3&amp;CHAR(10)&amp;'!1经济'!L4&amp;CHAR(10)&amp;'!1经济'!L5</f>
        <v>sg:0;time:8;char:6;num:1,
sg:500;time:6;char:8;num:2,
sg:1500;time:4;char:10;num:3,</v>
      </c>
      <c r="G4" s="204" t="s">
        <v>103</v>
      </c>
    </row>
    <row r="5" ht="123" customHeight="1" spans="1:7">
      <c r="A5" s="202">
        <v>2002</v>
      </c>
      <c r="B5" s="181">
        <v>1</v>
      </c>
      <c r="C5" s="180" t="s">
        <v>104</v>
      </c>
      <c r="D5" s="181" t="s">
        <v>105</v>
      </c>
      <c r="E5" s="168" t="s">
        <v>106</v>
      </c>
      <c r="F5" s="203" t="str">
        <f>'!1经济'!L6&amp;CHAR(10)&amp;'!1经济'!L7&amp;CHAR(10)&amp;'!1经济'!L8</f>
        <v>sg:0;time:8;char:6;num:1,
sg:100;time:6;char:8;num:2,
sg:1500;time:4;char:10;num:3,</v>
      </c>
      <c r="G5" s="204" t="s">
        <v>107</v>
      </c>
    </row>
    <row r="6" ht="67.5" customHeight="1" spans="1:7">
      <c r="A6" s="202">
        <v>2003</v>
      </c>
      <c r="B6" s="181">
        <v>1</v>
      </c>
      <c r="C6" s="180" t="s">
        <v>108</v>
      </c>
      <c r="D6" s="181" t="s">
        <v>109</v>
      </c>
      <c r="E6" s="168" t="s">
        <v>110</v>
      </c>
      <c r="F6" s="203" t="str">
        <f>'!1经济'!L9&amp;CHAR(10)&amp;'!1经济'!L10&amp;CHAR(10)&amp;'!1经济'!L11</f>
        <v>sg:0;time:10;char:8;num:1,
sg:100;time:8;char:10;num:2,
sg:1500;time:6;char:12;num:3,</v>
      </c>
      <c r="G6" s="204" t="s">
        <v>111</v>
      </c>
    </row>
    <row r="7" ht="95" customHeight="1" spans="1:7">
      <c r="A7" s="202">
        <v>2004</v>
      </c>
      <c r="B7" s="181">
        <v>1</v>
      </c>
      <c r="C7" s="180" t="s">
        <v>112</v>
      </c>
      <c r="D7" s="181" t="s">
        <v>113</v>
      </c>
      <c r="E7" s="168" t="s">
        <v>114</v>
      </c>
      <c r="F7" s="203" t="str">
        <f>'!1经济'!L12&amp;CHAR(10)&amp;'!1经济'!L13&amp;CHAR(10)&amp;'!1经济'!L14</f>
        <v>sg:0;time:10;char:6;num:1,
sg:500;time:8;char:8;num:2,
sg:1500;time:6;char:10;num:3,</v>
      </c>
      <c r="G7" s="204" t="s">
        <v>115</v>
      </c>
    </row>
    <row r="8" customFormat="1" ht="134" customHeight="1" spans="1:7">
      <c r="A8" s="197">
        <v>2008</v>
      </c>
      <c r="B8" s="146">
        <v>2</v>
      </c>
      <c r="C8" s="185" t="s">
        <v>100</v>
      </c>
      <c r="D8" s="186" t="s">
        <v>116</v>
      </c>
      <c r="E8" t="s">
        <v>117</v>
      </c>
      <c r="F8" s="203" t="s">
        <v>118</v>
      </c>
      <c r="G8" s="204" t="s">
        <v>119</v>
      </c>
    </row>
    <row r="9" customFormat="1" ht="123" customHeight="1" spans="1:7">
      <c r="A9" s="197">
        <v>2009</v>
      </c>
      <c r="B9" s="146">
        <v>2</v>
      </c>
      <c r="C9" s="185" t="s">
        <v>104</v>
      </c>
      <c r="D9" s="186" t="s">
        <v>120</v>
      </c>
      <c r="E9" t="s">
        <v>121</v>
      </c>
      <c r="F9" s="203" t="s">
        <v>118</v>
      </c>
      <c r="G9" s="204" t="s">
        <v>122</v>
      </c>
    </row>
    <row r="10" customFormat="1" ht="67.5" customHeight="1" spans="1:7">
      <c r="A10" s="197">
        <v>2010</v>
      </c>
      <c r="B10" s="146">
        <v>2</v>
      </c>
      <c r="C10" s="185" t="s">
        <v>108</v>
      </c>
      <c r="D10" s="186" t="s">
        <v>123</v>
      </c>
      <c r="E10" t="s">
        <v>124</v>
      </c>
      <c r="F10" s="203" t="s">
        <v>118</v>
      </c>
      <c r="G10" s="204" t="s">
        <v>125</v>
      </c>
    </row>
    <row r="11" customFormat="1" ht="95" customHeight="1" spans="1:7">
      <c r="A11" s="197">
        <v>2011</v>
      </c>
      <c r="B11" s="146">
        <v>2</v>
      </c>
      <c r="C11" s="185" t="s">
        <v>112</v>
      </c>
      <c r="D11" s="186" t="s">
        <v>126</v>
      </c>
      <c r="E11" t="s">
        <v>127</v>
      </c>
      <c r="F11" s="203" t="s">
        <v>118</v>
      </c>
      <c r="G11" s="204" t="s">
        <v>128</v>
      </c>
    </row>
    <row r="12" spans="4:4">
      <c r="D12" s="205"/>
    </row>
    <row r="13" spans="4:4">
      <c r="D13" s="205"/>
    </row>
    <row r="14" spans="4:4">
      <c r="D14" s="205"/>
    </row>
    <row r="15" spans="4:4">
      <c r="D15" s="205"/>
    </row>
    <row r="16" spans="4:4">
      <c r="D16" s="205"/>
    </row>
    <row r="17" spans="4:4">
      <c r="D17" s="205"/>
    </row>
    <row r="18" spans="4:4">
      <c r="D18" s="206"/>
    </row>
    <row r="19" spans="4:4">
      <c r="D19" s="206"/>
    </row>
    <row r="20" spans="4:4">
      <c r="D20" s="206"/>
    </row>
    <row r="21" spans="4:4">
      <c r="D21" s="206"/>
    </row>
    <row r="22" spans="4:4">
      <c r="D22" s="206"/>
    </row>
    <row r="23" spans="4:4">
      <c r="D23" s="206"/>
    </row>
    <row r="24" spans="4:4">
      <c r="D24" s="206"/>
    </row>
  </sheetData>
  <pageMargins left="0.75" right="0.75" top="1" bottom="1" header="0.510416666666667" footer="0.510416666666667"/>
  <pageSetup paperSize="9" orientation="portrait"/>
  <headerFooter alignWithMargins="0" scaleWithDoc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G10"/>
  <sheetViews>
    <sheetView workbookViewId="0">
      <selection activeCell="B10" sqref="B10"/>
    </sheetView>
  </sheetViews>
  <sheetFormatPr defaultColWidth="9" defaultRowHeight="14.25" outlineLevelCol="6"/>
  <cols>
    <col min="1" max="1" width="42.675" customWidth="1"/>
    <col min="2" max="3" width="15.8333333333333" style="39" customWidth="1"/>
    <col min="7" max="7" width="13.75" customWidth="1"/>
  </cols>
  <sheetData>
    <row r="1" spans="1:3">
      <c r="A1" s="196" t="s">
        <v>85</v>
      </c>
      <c r="B1" s="173" t="s">
        <v>86</v>
      </c>
      <c r="C1" s="173" t="s">
        <v>86</v>
      </c>
    </row>
    <row r="2" ht="129" customHeight="1" spans="1:3">
      <c r="A2" s="196"/>
      <c r="B2" s="173" t="s">
        <v>129</v>
      </c>
      <c r="C2" s="173" t="s">
        <v>130</v>
      </c>
    </row>
    <row r="3" spans="1:5">
      <c r="A3" s="145" t="s">
        <v>21</v>
      </c>
      <c r="B3" s="176" t="s">
        <v>32</v>
      </c>
      <c r="C3" s="176" t="s">
        <v>131</v>
      </c>
      <c r="D3" t="s">
        <v>132</v>
      </c>
      <c r="E3" t="s">
        <v>133</v>
      </c>
    </row>
    <row r="4" spans="1:6">
      <c r="A4" s="197">
        <v>10001</v>
      </c>
      <c r="B4" s="185" t="s">
        <v>134</v>
      </c>
      <c r="C4" s="185" t="s">
        <v>135</v>
      </c>
      <c r="D4" t="s">
        <v>136</v>
      </c>
      <c r="E4" t="s">
        <v>137</v>
      </c>
      <c r="F4" t="s">
        <v>138</v>
      </c>
    </row>
    <row r="5" spans="1:7">
      <c r="A5" s="197">
        <v>10002</v>
      </c>
      <c r="B5" s="185" t="s">
        <v>139</v>
      </c>
      <c r="C5" s="185" t="s">
        <v>140</v>
      </c>
      <c r="D5" t="s">
        <v>141</v>
      </c>
      <c r="F5" t="s">
        <v>142</v>
      </c>
      <c r="G5" t="s">
        <v>143</v>
      </c>
    </row>
    <row r="6" spans="1:6">
      <c r="A6" s="197">
        <v>10003</v>
      </c>
      <c r="B6" s="185" t="s">
        <v>144</v>
      </c>
      <c r="C6" s="185" t="s">
        <v>145</v>
      </c>
      <c r="D6" t="s">
        <v>146</v>
      </c>
      <c r="F6" t="s">
        <v>147</v>
      </c>
    </row>
    <row r="7" spans="1:6">
      <c r="A7" s="197">
        <v>10004</v>
      </c>
      <c r="B7" s="185" t="s">
        <v>148</v>
      </c>
      <c r="C7" s="185" t="s">
        <v>149</v>
      </c>
      <c r="D7" t="s">
        <v>150</v>
      </c>
      <c r="F7" t="s">
        <v>151</v>
      </c>
    </row>
    <row r="8" spans="1:6">
      <c r="A8" s="197">
        <v>10005</v>
      </c>
      <c r="B8" s="185" t="s">
        <v>152</v>
      </c>
      <c r="C8" s="185" t="s">
        <v>153</v>
      </c>
      <c r="D8" t="s">
        <v>154</v>
      </c>
      <c r="F8" t="s">
        <v>155</v>
      </c>
    </row>
    <row r="9" spans="1:6">
      <c r="A9" s="197">
        <v>10006</v>
      </c>
      <c r="B9" s="185" t="s">
        <v>156</v>
      </c>
      <c r="C9" s="185" t="s">
        <v>157</v>
      </c>
      <c r="D9" t="s">
        <v>158</v>
      </c>
      <c r="E9" t="s">
        <v>159</v>
      </c>
      <c r="F9" t="s">
        <v>160</v>
      </c>
    </row>
    <row r="10" spans="1:6">
      <c r="A10" s="197">
        <v>10007</v>
      </c>
      <c r="B10" s="185" t="s">
        <v>161</v>
      </c>
      <c r="C10" s="185" t="s">
        <v>162</v>
      </c>
      <c r="D10" t="s">
        <v>163</v>
      </c>
      <c r="E10" t="s">
        <v>164</v>
      </c>
      <c r="F10" t="s">
        <v>165</v>
      </c>
    </row>
  </sheetData>
  <pageMargins left="0.75" right="0.75" top="1" bottom="1" header="0.511805555555556" footer="0.511805555555556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66"/>
  <sheetViews>
    <sheetView workbookViewId="0">
      <selection activeCell="A1" sqref="A1"/>
    </sheetView>
  </sheetViews>
  <sheetFormatPr defaultColWidth="9" defaultRowHeight="14.25"/>
  <cols>
    <col min="3" max="3" width="12.75" customWidth="1"/>
    <col min="4" max="4" width="26.125" customWidth="1"/>
    <col min="5" max="5" width="48.3916666666667" customWidth="1"/>
    <col min="6" max="6" width="33.2166666666667" customWidth="1"/>
    <col min="7" max="7" width="14.825" customWidth="1"/>
    <col min="8" max="8" width="45.3583333333333" customWidth="1"/>
    <col min="9" max="10" width="11.25" customWidth="1"/>
    <col min="13" max="13" width="19" customWidth="1"/>
    <col min="14" max="14" width="28.75" customWidth="1"/>
  </cols>
  <sheetData>
    <row r="1" s="39" customFormat="1" ht="28.5" spans="1:14">
      <c r="A1" s="172" t="s">
        <v>85</v>
      </c>
      <c r="B1" s="173" t="s">
        <v>0</v>
      </c>
      <c r="C1" s="173" t="s">
        <v>166</v>
      </c>
      <c r="D1" s="173" t="s">
        <v>167</v>
      </c>
      <c r="E1" s="173"/>
      <c r="F1" s="173"/>
      <c r="G1" s="173"/>
      <c r="H1" s="174" t="s">
        <v>87</v>
      </c>
      <c r="I1" s="173" t="s">
        <v>168</v>
      </c>
      <c r="J1" s="173"/>
      <c r="K1" s="173" t="s">
        <v>169</v>
      </c>
      <c r="L1" s="173" t="s">
        <v>170</v>
      </c>
      <c r="M1" s="173" t="s">
        <v>171</v>
      </c>
      <c r="N1" s="189" t="s">
        <v>88</v>
      </c>
    </row>
    <row r="2" s="39" customFormat="1" ht="165.75" customHeight="1" spans="1:14">
      <c r="A2" s="172" t="s">
        <v>172</v>
      </c>
      <c r="B2" s="173" t="s">
        <v>173</v>
      </c>
      <c r="C2" s="173" t="s">
        <v>92</v>
      </c>
      <c r="D2" s="173" t="s">
        <v>174</v>
      </c>
      <c r="E2" s="173" t="s">
        <v>175</v>
      </c>
      <c r="F2" s="173" t="s">
        <v>176</v>
      </c>
      <c r="G2" s="173" t="s">
        <v>177</v>
      </c>
      <c r="H2" s="174" t="s">
        <v>178</v>
      </c>
      <c r="I2" s="173" t="s">
        <v>179</v>
      </c>
      <c r="J2" s="173" t="s">
        <v>180</v>
      </c>
      <c r="K2" s="173" t="s">
        <v>181</v>
      </c>
      <c r="L2" s="173" t="s">
        <v>182</v>
      </c>
      <c r="M2" s="173" t="s">
        <v>183</v>
      </c>
      <c r="N2" s="190" t="s">
        <v>96</v>
      </c>
    </row>
    <row r="3" s="39" customFormat="1" spans="1:14">
      <c r="A3" s="175" t="s">
        <v>21</v>
      </c>
      <c r="B3" s="176" t="s">
        <v>20</v>
      </c>
      <c r="C3" s="176" t="s">
        <v>32</v>
      </c>
      <c r="D3" s="176" t="s">
        <v>184</v>
      </c>
      <c r="E3" s="176" t="s">
        <v>185</v>
      </c>
      <c r="F3" s="176" t="s">
        <v>186</v>
      </c>
      <c r="G3" s="176" t="s">
        <v>98</v>
      </c>
      <c r="H3" s="177" t="s">
        <v>99</v>
      </c>
      <c r="I3" s="191" t="s">
        <v>187</v>
      </c>
      <c r="J3" s="191" t="s">
        <v>188</v>
      </c>
      <c r="K3" s="176" t="s">
        <v>189</v>
      </c>
      <c r="L3" s="191" t="s">
        <v>190</v>
      </c>
      <c r="M3" s="191" t="s">
        <v>191</v>
      </c>
      <c r="N3" s="176"/>
    </row>
    <row r="4" s="171" customFormat="1" ht="111" customHeight="1" spans="1:14">
      <c r="A4" s="178">
        <v>1000</v>
      </c>
      <c r="B4" s="179">
        <v>1</v>
      </c>
      <c r="C4" s="180" t="s">
        <v>192</v>
      </c>
      <c r="D4" s="181">
        <v>1</v>
      </c>
      <c r="E4" s="181" t="s">
        <v>193</v>
      </c>
      <c r="F4" s="168" t="s">
        <v>194</v>
      </c>
      <c r="G4" s="181" t="s">
        <v>195</v>
      </c>
      <c r="H4" s="182" t="str">
        <f>'!1经济'!J18&amp;CHAR(10)&amp;'!1经济'!J19&amp;CHAR(10)&amp;'!1经济'!J20</f>
        <v>sg:0;sp:2,
sg:500;sp:3,
sg:1000;sp:4,</v>
      </c>
      <c r="I4" s="179">
        <v>1006</v>
      </c>
      <c r="J4" s="179"/>
      <c r="K4" s="192"/>
      <c r="L4" s="179">
        <v>1</v>
      </c>
      <c r="M4" s="179" t="s">
        <v>196</v>
      </c>
      <c r="N4" s="193" t="s">
        <v>197</v>
      </c>
    </row>
    <row r="5" s="171" customFormat="1" ht="112" customHeight="1" spans="1:14">
      <c r="A5" s="178">
        <v>1003</v>
      </c>
      <c r="B5" s="179">
        <v>1</v>
      </c>
      <c r="C5" s="180" t="s">
        <v>198</v>
      </c>
      <c r="D5" s="181">
        <v>1</v>
      </c>
      <c r="E5" s="181" t="s">
        <v>199</v>
      </c>
      <c r="F5" s="168" t="s">
        <v>200</v>
      </c>
      <c r="G5" s="181" t="s">
        <v>201</v>
      </c>
      <c r="H5" s="182" t="str">
        <f>'!1经济'!J21&amp;CHAR(10)&amp;'!1经济'!J22&amp;CHAR(10)&amp;'!1经济'!J23</f>
        <v>sg:0;sp:2,
sg:500;sp:3,
sg:1000;sp:4,</v>
      </c>
      <c r="I5" s="179">
        <v>1007</v>
      </c>
      <c r="J5" s="179"/>
      <c r="K5" s="192"/>
      <c r="L5" s="179">
        <v>1</v>
      </c>
      <c r="M5" s="179" t="s">
        <v>202</v>
      </c>
      <c r="N5" s="193" t="s">
        <v>203</v>
      </c>
    </row>
    <row r="6" s="171" customFormat="1" ht="136" customHeight="1" spans="1:14">
      <c r="A6" s="178">
        <v>1005</v>
      </c>
      <c r="B6" s="179">
        <v>1</v>
      </c>
      <c r="C6" s="180" t="s">
        <v>204</v>
      </c>
      <c r="D6" s="181">
        <v>1</v>
      </c>
      <c r="E6" s="181" t="s">
        <v>205</v>
      </c>
      <c r="F6" s="181" t="s">
        <v>206</v>
      </c>
      <c r="G6" s="181" t="s">
        <v>207</v>
      </c>
      <c r="H6" s="182" t="str">
        <f>'!1经济'!J24&amp;CHAR(10)&amp;'!1经济'!J25&amp;CHAR(10)&amp;'!1经济'!J26</f>
        <v>sg:0;sp:2,
sg:500;sp:3,
sg:1000;sp:4,</v>
      </c>
      <c r="I6" s="179">
        <v>1012</v>
      </c>
      <c r="J6" s="179"/>
      <c r="K6" s="192"/>
      <c r="L6" s="179">
        <v>0</v>
      </c>
      <c r="M6" s="179" t="s">
        <v>202</v>
      </c>
      <c r="N6" s="193" t="s">
        <v>208</v>
      </c>
    </row>
    <row r="7" s="171" customFormat="1" ht="102" customHeight="1" spans="1:14">
      <c r="A7" s="178">
        <v>1002</v>
      </c>
      <c r="B7" s="179">
        <v>1</v>
      </c>
      <c r="C7" s="180" t="s">
        <v>209</v>
      </c>
      <c r="D7" s="181">
        <v>1</v>
      </c>
      <c r="E7" s="181" t="s">
        <v>210</v>
      </c>
      <c r="F7" s="168" t="s">
        <v>211</v>
      </c>
      <c r="G7" s="181" t="s">
        <v>212</v>
      </c>
      <c r="H7" s="182" t="str">
        <f>'!1经济'!J27&amp;CHAR(10)&amp;'!1经济'!J28&amp;CHAR(10)&amp;'!1经济'!J29</f>
        <v>sg:0;sp:2,
sg:500;sp:3,
sg:1000;sp:4,</v>
      </c>
      <c r="I7" s="179"/>
      <c r="J7" s="179"/>
      <c r="K7" s="192"/>
      <c r="L7" s="179">
        <v>2</v>
      </c>
      <c r="M7" s="179" t="s">
        <v>202</v>
      </c>
      <c r="N7" s="193" t="s">
        <v>213</v>
      </c>
    </row>
    <row r="8" s="171" customFormat="1" ht="106" customHeight="1" spans="1:14">
      <c r="A8" s="178">
        <v>1004</v>
      </c>
      <c r="B8" s="179">
        <v>1</v>
      </c>
      <c r="C8" s="180" t="s">
        <v>214</v>
      </c>
      <c r="D8" s="181">
        <v>1</v>
      </c>
      <c r="E8" s="181" t="s">
        <v>215</v>
      </c>
      <c r="F8" s="168" t="s">
        <v>216</v>
      </c>
      <c r="G8" s="181" t="s">
        <v>217</v>
      </c>
      <c r="H8" s="182" t="str">
        <f>'!1经济'!J30&amp;CHAR(10)&amp;'!1经济'!J31&amp;CHAR(10)&amp;'!1经济'!J32</f>
        <v>sg:0;sp:2,
sg:500;sp:3,
sg:1000;sp:4,</v>
      </c>
      <c r="I8" s="179">
        <v>1010</v>
      </c>
      <c r="J8" s="179"/>
      <c r="K8" s="192"/>
      <c r="L8" s="179">
        <v>1</v>
      </c>
      <c r="M8" s="179" t="s">
        <v>202</v>
      </c>
      <c r="N8" s="193" t="s">
        <v>218</v>
      </c>
    </row>
    <row r="9" s="171" customFormat="1" ht="107" customHeight="1" spans="1:14">
      <c r="A9" s="178">
        <v>1001</v>
      </c>
      <c r="B9" s="179">
        <v>1</v>
      </c>
      <c r="C9" s="180" t="s">
        <v>219</v>
      </c>
      <c r="D9" s="181">
        <v>1</v>
      </c>
      <c r="E9" s="181" t="s">
        <v>220</v>
      </c>
      <c r="F9" s="168" t="s">
        <v>221</v>
      </c>
      <c r="G9" s="181" t="s">
        <v>222</v>
      </c>
      <c r="H9" s="182" t="str">
        <f>'!1经济'!J33&amp;CHAR(10)&amp;'!1经济'!J34&amp;CHAR(10)&amp;'!1经济'!J35</f>
        <v>sg:0;sp:2,
sg:500;sp:3,
sg:1000;sp:4,</v>
      </c>
      <c r="I9" s="179"/>
      <c r="J9" s="179"/>
      <c r="K9" s="192"/>
      <c r="L9" s="179">
        <v>2</v>
      </c>
      <c r="M9" s="179" t="s">
        <v>202</v>
      </c>
      <c r="N9" s="193" t="s">
        <v>223</v>
      </c>
    </row>
    <row r="10" spans="1:14">
      <c r="A10" s="181">
        <v>1006</v>
      </c>
      <c r="B10" s="181">
        <v>1</v>
      </c>
      <c r="C10" s="168"/>
      <c r="D10" s="181">
        <v>0</v>
      </c>
      <c r="E10" s="168"/>
      <c r="F10" s="168"/>
      <c r="G10" s="168"/>
      <c r="H10" s="165"/>
      <c r="I10" s="179"/>
      <c r="J10" s="179">
        <v>1000</v>
      </c>
      <c r="K10" s="179">
        <v>2002</v>
      </c>
      <c r="L10" s="179">
        <v>2</v>
      </c>
      <c r="M10" s="179" t="s">
        <v>202</v>
      </c>
      <c r="N10" s="184" t="s">
        <v>224</v>
      </c>
    </row>
    <row r="11" spans="1:14">
      <c r="A11" s="181">
        <v>1007</v>
      </c>
      <c r="B11" s="181">
        <v>1</v>
      </c>
      <c r="C11" s="168"/>
      <c r="D11" s="181">
        <v>0</v>
      </c>
      <c r="E11" s="168"/>
      <c r="F11" s="181" t="s">
        <v>225</v>
      </c>
      <c r="G11" s="168"/>
      <c r="H11" s="165"/>
      <c r="I11" s="179">
        <v>1008</v>
      </c>
      <c r="J11" s="179">
        <v>1003</v>
      </c>
      <c r="K11" s="179">
        <v>2003</v>
      </c>
      <c r="L11" s="179">
        <v>0</v>
      </c>
      <c r="M11" s="179" t="s">
        <v>202</v>
      </c>
      <c r="N11" s="184" t="s">
        <v>226</v>
      </c>
    </row>
    <row r="12" spans="1:14">
      <c r="A12" s="181">
        <v>1008</v>
      </c>
      <c r="B12" s="181">
        <v>1</v>
      </c>
      <c r="C12" s="168"/>
      <c r="D12" s="181">
        <v>0</v>
      </c>
      <c r="E12" s="168"/>
      <c r="F12" s="181" t="s">
        <v>227</v>
      </c>
      <c r="G12" s="168"/>
      <c r="H12" s="165"/>
      <c r="I12" s="179">
        <v>1009</v>
      </c>
      <c r="J12" s="179">
        <v>1003</v>
      </c>
      <c r="K12" s="179">
        <v>2003</v>
      </c>
      <c r="L12" s="179">
        <v>2</v>
      </c>
      <c r="M12" s="179" t="s">
        <v>202</v>
      </c>
      <c r="N12" s="184" t="s">
        <v>228</v>
      </c>
    </row>
    <row r="13" spans="1:14">
      <c r="A13" s="181">
        <v>1009</v>
      </c>
      <c r="B13" s="181">
        <v>1</v>
      </c>
      <c r="C13" s="168"/>
      <c r="D13" s="181">
        <v>0</v>
      </c>
      <c r="E13" s="168"/>
      <c r="F13" s="181" t="s">
        <v>229</v>
      </c>
      <c r="G13" s="168"/>
      <c r="H13" s="165"/>
      <c r="I13" s="179"/>
      <c r="J13" s="179">
        <v>1003</v>
      </c>
      <c r="K13" s="179">
        <v>2003</v>
      </c>
      <c r="L13" s="179">
        <v>2</v>
      </c>
      <c r="M13" s="179" t="s">
        <v>202</v>
      </c>
      <c r="N13" s="184" t="s">
        <v>230</v>
      </c>
    </row>
    <row r="14" spans="1:14">
      <c r="A14" s="181">
        <v>1010</v>
      </c>
      <c r="B14" s="181">
        <v>1</v>
      </c>
      <c r="C14" s="168"/>
      <c r="D14" s="181">
        <v>0</v>
      </c>
      <c r="E14" s="168"/>
      <c r="F14" s="181" t="s">
        <v>231</v>
      </c>
      <c r="G14" s="168"/>
      <c r="H14" s="165"/>
      <c r="I14" s="179">
        <v>1011</v>
      </c>
      <c r="J14" s="179">
        <v>1004</v>
      </c>
      <c r="K14" s="179">
        <v>2004</v>
      </c>
      <c r="L14" s="179">
        <v>0</v>
      </c>
      <c r="M14" s="179" t="s">
        <v>202</v>
      </c>
      <c r="N14" s="184" t="s">
        <v>232</v>
      </c>
    </row>
    <row r="15" spans="1:14">
      <c r="A15" s="181">
        <v>1011</v>
      </c>
      <c r="B15" s="181">
        <v>1</v>
      </c>
      <c r="C15" s="168"/>
      <c r="D15" s="181">
        <v>0</v>
      </c>
      <c r="E15" s="168"/>
      <c r="F15" s="181" t="s">
        <v>233</v>
      </c>
      <c r="G15" s="168"/>
      <c r="H15" s="165"/>
      <c r="I15" s="179"/>
      <c r="J15" s="179">
        <v>1004</v>
      </c>
      <c r="K15" s="179">
        <v>2004</v>
      </c>
      <c r="L15" s="179">
        <v>2</v>
      </c>
      <c r="M15" s="179" t="s">
        <v>234</v>
      </c>
      <c r="N15" s="184" t="s">
        <v>235</v>
      </c>
    </row>
    <row r="16" spans="1:14">
      <c r="A16" s="181">
        <v>1012</v>
      </c>
      <c r="B16" s="181">
        <v>1</v>
      </c>
      <c r="C16" s="168"/>
      <c r="D16" s="181">
        <v>0</v>
      </c>
      <c r="E16" s="168"/>
      <c r="F16" s="181" t="s">
        <v>236</v>
      </c>
      <c r="G16" s="181"/>
      <c r="H16" s="165"/>
      <c r="I16" s="179"/>
      <c r="J16" s="179">
        <v>1005</v>
      </c>
      <c r="K16" s="179">
        <v>2001</v>
      </c>
      <c r="L16" s="179">
        <v>2</v>
      </c>
      <c r="M16" s="179" t="s">
        <v>237</v>
      </c>
      <c r="N16" s="184" t="s">
        <v>238</v>
      </c>
    </row>
    <row r="17" spans="1:14">
      <c r="A17" s="181">
        <v>4001</v>
      </c>
      <c r="B17" s="181">
        <v>1</v>
      </c>
      <c r="C17" s="168"/>
      <c r="D17" s="181">
        <v>0</v>
      </c>
      <c r="E17" s="168"/>
      <c r="F17" s="168"/>
      <c r="G17" s="168"/>
      <c r="H17" s="165"/>
      <c r="I17" s="179"/>
      <c r="J17" s="179"/>
      <c r="K17" s="179">
        <v>2002</v>
      </c>
      <c r="L17" s="179">
        <v>2</v>
      </c>
      <c r="M17" s="179" t="s">
        <v>239</v>
      </c>
      <c r="N17" s="184" t="s">
        <v>240</v>
      </c>
    </row>
    <row r="18" spans="1:14">
      <c r="A18" s="181">
        <v>4002</v>
      </c>
      <c r="B18" s="181">
        <v>1</v>
      </c>
      <c r="C18" s="168"/>
      <c r="D18" s="181">
        <v>0</v>
      </c>
      <c r="E18" s="168"/>
      <c r="F18" s="168"/>
      <c r="G18" s="168"/>
      <c r="H18" s="165"/>
      <c r="I18" s="179"/>
      <c r="J18" s="179"/>
      <c r="K18" s="179">
        <v>2002</v>
      </c>
      <c r="L18" s="179">
        <v>2</v>
      </c>
      <c r="M18" s="179" t="s">
        <v>239</v>
      </c>
      <c r="N18" s="184" t="s">
        <v>241</v>
      </c>
    </row>
    <row r="19" spans="1:14">
      <c r="A19" s="181">
        <v>4003</v>
      </c>
      <c r="B19" s="181">
        <v>1</v>
      </c>
      <c r="C19" s="168"/>
      <c r="D19" s="181">
        <v>0</v>
      </c>
      <c r="E19" s="168"/>
      <c r="F19" s="168"/>
      <c r="G19" s="168"/>
      <c r="H19" s="165"/>
      <c r="I19" s="179"/>
      <c r="J19" s="179"/>
      <c r="K19" s="179">
        <v>2002</v>
      </c>
      <c r="L19" s="179">
        <v>2</v>
      </c>
      <c r="M19" s="179" t="s">
        <v>239</v>
      </c>
      <c r="N19" s="184" t="s">
        <v>242</v>
      </c>
    </row>
    <row r="20" spans="1:14">
      <c r="A20" s="181">
        <v>4004</v>
      </c>
      <c r="B20" s="181">
        <v>1</v>
      </c>
      <c r="C20" s="168"/>
      <c r="D20" s="181">
        <v>0</v>
      </c>
      <c r="E20" s="168"/>
      <c r="F20" s="168"/>
      <c r="G20" s="168"/>
      <c r="H20" s="165"/>
      <c r="I20" s="179"/>
      <c r="J20" s="179"/>
      <c r="K20" s="179">
        <v>2002</v>
      </c>
      <c r="L20" s="179">
        <v>2</v>
      </c>
      <c r="M20" s="179" t="s">
        <v>239</v>
      </c>
      <c r="N20" s="184" t="s">
        <v>243</v>
      </c>
    </row>
    <row r="21" spans="1:14">
      <c r="A21" s="181">
        <v>4005</v>
      </c>
      <c r="B21" s="181">
        <v>1</v>
      </c>
      <c r="C21" s="168"/>
      <c r="D21" s="181">
        <v>0</v>
      </c>
      <c r="E21" s="168"/>
      <c r="F21" s="168"/>
      <c r="G21" s="168"/>
      <c r="H21" s="165"/>
      <c r="I21" s="179"/>
      <c r="J21" s="179"/>
      <c r="K21" s="179">
        <v>2002</v>
      </c>
      <c r="L21" s="179">
        <v>2</v>
      </c>
      <c r="M21" s="179" t="s">
        <v>239</v>
      </c>
      <c r="N21" s="184" t="s">
        <v>244</v>
      </c>
    </row>
    <row r="22" spans="1:14">
      <c r="A22" s="181">
        <v>4006</v>
      </c>
      <c r="B22" s="181">
        <v>1</v>
      </c>
      <c r="C22" s="168"/>
      <c r="D22" s="181">
        <v>0</v>
      </c>
      <c r="E22" s="168"/>
      <c r="F22" s="168"/>
      <c r="G22" s="168"/>
      <c r="H22" s="165"/>
      <c r="I22" s="179"/>
      <c r="J22" s="179"/>
      <c r="K22" s="179">
        <v>2002</v>
      </c>
      <c r="L22" s="179">
        <v>2</v>
      </c>
      <c r="M22" s="179" t="s">
        <v>239</v>
      </c>
      <c r="N22" s="184" t="s">
        <v>245</v>
      </c>
    </row>
    <row r="23" spans="1:14">
      <c r="A23" s="181">
        <v>4007</v>
      </c>
      <c r="B23" s="181">
        <v>1</v>
      </c>
      <c r="C23" s="168"/>
      <c r="D23" s="181">
        <v>0</v>
      </c>
      <c r="E23" s="168"/>
      <c r="F23" s="168"/>
      <c r="G23" s="168"/>
      <c r="H23" s="165"/>
      <c r="I23" s="179"/>
      <c r="J23" s="179"/>
      <c r="K23" s="179">
        <v>2002</v>
      </c>
      <c r="L23" s="179">
        <v>2</v>
      </c>
      <c r="M23" s="179" t="s">
        <v>239</v>
      </c>
      <c r="N23" s="184" t="s">
        <v>246</v>
      </c>
    </row>
    <row r="24" s="171" customFormat="1" ht="104" customHeight="1" spans="1:14">
      <c r="A24" s="183">
        <v>1020</v>
      </c>
      <c r="B24" s="184">
        <v>2</v>
      </c>
      <c r="C24" s="185" t="s">
        <v>247</v>
      </c>
      <c r="D24" s="186">
        <v>1</v>
      </c>
      <c r="E24" s="187" t="s">
        <v>248</v>
      </c>
      <c r="F24" s="165" t="s">
        <v>249</v>
      </c>
      <c r="G24" s="187" t="s">
        <v>250</v>
      </c>
      <c r="H24" s="182" t="s">
        <v>251</v>
      </c>
      <c r="I24" s="184">
        <v>1030</v>
      </c>
      <c r="J24" s="184"/>
      <c r="K24" s="194"/>
      <c r="L24" s="184">
        <v>0</v>
      </c>
      <c r="M24" s="184" t="s">
        <v>196</v>
      </c>
      <c r="N24" s="193" t="s">
        <v>252</v>
      </c>
    </row>
    <row r="25" s="171" customFormat="1" ht="58.5" customHeight="1" spans="1:14">
      <c r="A25" s="183">
        <v>1021</v>
      </c>
      <c r="B25" s="184">
        <v>2</v>
      </c>
      <c r="C25" s="185" t="s">
        <v>253</v>
      </c>
      <c r="D25" s="186">
        <v>1</v>
      </c>
      <c r="E25" s="187" t="s">
        <v>254</v>
      </c>
      <c r="F25" s="165" t="s">
        <v>255</v>
      </c>
      <c r="G25" s="187" t="s">
        <v>256</v>
      </c>
      <c r="H25" s="182" t="s">
        <v>251</v>
      </c>
      <c r="I25" s="184"/>
      <c r="J25" s="184"/>
      <c r="K25" s="194"/>
      <c r="L25" s="184">
        <v>2</v>
      </c>
      <c r="M25" s="184" t="s">
        <v>202</v>
      </c>
      <c r="N25" s="193" t="s">
        <v>257</v>
      </c>
    </row>
    <row r="26" s="171" customFormat="1" ht="58.5" customHeight="1" spans="1:14">
      <c r="A26" s="183">
        <v>1022</v>
      </c>
      <c r="B26" s="184">
        <v>2</v>
      </c>
      <c r="C26" s="185" t="s">
        <v>258</v>
      </c>
      <c r="D26" s="186">
        <v>1</v>
      </c>
      <c r="E26" s="187" t="s">
        <v>259</v>
      </c>
      <c r="F26" s="165" t="s">
        <v>260</v>
      </c>
      <c r="G26" s="187" t="s">
        <v>261</v>
      </c>
      <c r="H26" s="182" t="s">
        <v>251</v>
      </c>
      <c r="I26" s="184"/>
      <c r="J26" s="184"/>
      <c r="K26" s="194"/>
      <c r="L26" s="184">
        <v>2</v>
      </c>
      <c r="M26" s="184" t="s">
        <v>202</v>
      </c>
      <c r="N26" s="193" t="s">
        <v>262</v>
      </c>
    </row>
    <row r="27" s="171" customFormat="1" ht="58.5" customHeight="1" spans="1:14">
      <c r="A27" s="183">
        <v>1023</v>
      </c>
      <c r="B27" s="184">
        <v>2</v>
      </c>
      <c r="C27" s="185" t="s">
        <v>263</v>
      </c>
      <c r="D27" s="186">
        <v>1</v>
      </c>
      <c r="E27" s="187" t="s">
        <v>264</v>
      </c>
      <c r="F27" s="165" t="s">
        <v>265</v>
      </c>
      <c r="G27" s="187" t="s">
        <v>266</v>
      </c>
      <c r="H27" s="182" t="s">
        <v>251</v>
      </c>
      <c r="I27" s="184"/>
      <c r="J27" s="184"/>
      <c r="K27" s="194"/>
      <c r="L27" s="184">
        <v>2</v>
      </c>
      <c r="M27" s="184" t="s">
        <v>202</v>
      </c>
      <c r="N27" s="193" t="s">
        <v>267</v>
      </c>
    </row>
    <row r="28" s="171" customFormat="1" ht="58.5" customHeight="1" spans="1:14">
      <c r="A28" s="183">
        <v>1024</v>
      </c>
      <c r="B28" s="184">
        <v>2</v>
      </c>
      <c r="C28" s="185" t="s">
        <v>268</v>
      </c>
      <c r="D28" s="186">
        <v>1</v>
      </c>
      <c r="E28" s="187" t="s">
        <v>269</v>
      </c>
      <c r="F28" s="165" t="s">
        <v>270</v>
      </c>
      <c r="G28" s="187" t="s">
        <v>271</v>
      </c>
      <c r="H28" s="188" t="s">
        <v>251</v>
      </c>
      <c r="I28" s="184"/>
      <c r="J28" s="184"/>
      <c r="K28" s="194"/>
      <c r="L28" s="184">
        <v>2</v>
      </c>
      <c r="M28" s="184" t="s">
        <v>202</v>
      </c>
      <c r="N28" s="193" t="s">
        <v>272</v>
      </c>
    </row>
    <row r="29" s="171" customFormat="1" ht="58.5" customHeight="1" spans="1:14">
      <c r="A29" s="183">
        <v>1025</v>
      </c>
      <c r="B29" s="184">
        <v>2</v>
      </c>
      <c r="C29" s="185" t="s">
        <v>273</v>
      </c>
      <c r="D29" s="186">
        <v>1</v>
      </c>
      <c r="E29" s="187" t="s">
        <v>274</v>
      </c>
      <c r="F29" s="187" t="s">
        <v>275</v>
      </c>
      <c r="G29" s="187" t="s">
        <v>276</v>
      </c>
      <c r="H29" s="182" t="s">
        <v>251</v>
      </c>
      <c r="I29" s="183">
        <v>1020</v>
      </c>
      <c r="J29" s="184"/>
      <c r="K29" s="194"/>
      <c r="L29" s="184">
        <v>2</v>
      </c>
      <c r="M29" s="184" t="s">
        <v>202</v>
      </c>
      <c r="N29" s="193" t="s">
        <v>277</v>
      </c>
    </row>
    <row r="30" s="171" customFormat="1" ht="58.5" customHeight="1" spans="1:14">
      <c r="A30" s="183">
        <v>1026</v>
      </c>
      <c r="B30" s="184">
        <v>2</v>
      </c>
      <c r="C30" s="185" t="s">
        <v>278</v>
      </c>
      <c r="D30" s="186">
        <v>1</v>
      </c>
      <c r="E30" s="187" t="s">
        <v>279</v>
      </c>
      <c r="F30" s="187" t="s">
        <v>280</v>
      </c>
      <c r="G30" s="187" t="s">
        <v>281</v>
      </c>
      <c r="H30" s="182" t="s">
        <v>251</v>
      </c>
      <c r="I30" s="183">
        <v>1021</v>
      </c>
      <c r="J30" s="184"/>
      <c r="K30" s="194"/>
      <c r="L30" s="184">
        <v>2</v>
      </c>
      <c r="M30" s="184" t="s">
        <v>202</v>
      </c>
      <c r="N30" s="193" t="s">
        <v>282</v>
      </c>
    </row>
    <row r="31" s="171" customFormat="1" ht="58.5" customHeight="1" spans="1:14">
      <c r="A31" s="183">
        <v>1027</v>
      </c>
      <c r="B31" s="184">
        <v>2</v>
      </c>
      <c r="C31" s="185" t="s">
        <v>283</v>
      </c>
      <c r="D31" s="186">
        <v>1</v>
      </c>
      <c r="E31" s="187" t="s">
        <v>284</v>
      </c>
      <c r="F31" s="187" t="s">
        <v>285</v>
      </c>
      <c r="G31" s="187" t="s">
        <v>286</v>
      </c>
      <c r="H31" s="182" t="s">
        <v>251</v>
      </c>
      <c r="I31" s="183">
        <v>1022</v>
      </c>
      <c r="J31" s="184"/>
      <c r="K31" s="194"/>
      <c r="L31" s="184">
        <v>2</v>
      </c>
      <c r="M31" s="184" t="s">
        <v>202</v>
      </c>
      <c r="N31" s="193" t="s">
        <v>287</v>
      </c>
    </row>
    <row r="32" s="171" customFormat="1" ht="58.5" customHeight="1" spans="1:14">
      <c r="A32" s="183">
        <v>1028</v>
      </c>
      <c r="B32" s="184">
        <v>2</v>
      </c>
      <c r="C32" s="185" t="s">
        <v>288</v>
      </c>
      <c r="D32" s="186">
        <v>1</v>
      </c>
      <c r="E32" s="187" t="s">
        <v>289</v>
      </c>
      <c r="F32" s="187" t="s">
        <v>290</v>
      </c>
      <c r="G32" s="187" t="s">
        <v>291</v>
      </c>
      <c r="H32" s="182" t="s">
        <v>251</v>
      </c>
      <c r="I32" s="184">
        <v>1023</v>
      </c>
      <c r="J32" s="184"/>
      <c r="K32" s="194"/>
      <c r="L32" s="184">
        <v>0</v>
      </c>
      <c r="M32" s="184" t="s">
        <v>202</v>
      </c>
      <c r="N32" s="193" t="s">
        <v>292</v>
      </c>
    </row>
    <row r="33" s="171" customFormat="1" ht="58.5" customHeight="1" spans="1:14">
      <c r="A33" s="183">
        <v>1029</v>
      </c>
      <c r="B33" s="184">
        <v>2</v>
      </c>
      <c r="C33" s="185" t="s">
        <v>293</v>
      </c>
      <c r="D33" s="186">
        <v>0</v>
      </c>
      <c r="E33" s="187"/>
      <c r="F33" s="187" t="s">
        <v>294</v>
      </c>
      <c r="G33" s="187"/>
      <c r="H33" s="182" t="s">
        <v>251</v>
      </c>
      <c r="I33" s="184">
        <v>1024</v>
      </c>
      <c r="J33" s="184"/>
      <c r="K33" s="194"/>
      <c r="L33" s="184">
        <v>0</v>
      </c>
      <c r="M33" s="184" t="s">
        <v>202</v>
      </c>
      <c r="N33" s="193" t="s">
        <v>295</v>
      </c>
    </row>
    <row r="34" spans="1:14">
      <c r="A34" s="183">
        <v>1030</v>
      </c>
      <c r="B34" s="184">
        <v>2</v>
      </c>
      <c r="C34" s="165"/>
      <c r="D34" s="186">
        <v>0</v>
      </c>
      <c r="E34" s="165"/>
      <c r="F34" s="187" t="s">
        <v>296</v>
      </c>
      <c r="G34" s="187"/>
      <c r="H34" s="165"/>
      <c r="I34" s="184"/>
      <c r="J34" s="195">
        <v>1020</v>
      </c>
      <c r="K34" s="195">
        <v>2008</v>
      </c>
      <c r="L34" s="195">
        <v>2</v>
      </c>
      <c r="M34" s="184" t="s">
        <v>237</v>
      </c>
      <c r="N34" s="184" t="s">
        <v>297</v>
      </c>
    </row>
    <row r="35" spans="1:14">
      <c r="A35" s="183">
        <v>1031</v>
      </c>
      <c r="B35" s="184">
        <v>2</v>
      </c>
      <c r="D35" s="186">
        <v>0</v>
      </c>
      <c r="F35" s="187"/>
      <c r="H35" s="182" t="s">
        <v>298</v>
      </c>
      <c r="K35">
        <v>2009</v>
      </c>
      <c r="L35">
        <v>0</v>
      </c>
      <c r="M35" s="184" t="s">
        <v>202</v>
      </c>
      <c r="N35" t="s">
        <v>299</v>
      </c>
    </row>
    <row r="36" spans="1:14">
      <c r="A36" s="183">
        <v>1032</v>
      </c>
      <c r="B36" s="184">
        <v>2</v>
      </c>
      <c r="D36" s="186">
        <v>0</v>
      </c>
      <c r="F36" s="187" t="s">
        <v>300</v>
      </c>
      <c r="J36">
        <v>1028</v>
      </c>
      <c r="K36">
        <v>2011</v>
      </c>
      <c r="L36">
        <v>2</v>
      </c>
      <c r="M36" s="184" t="s">
        <v>237</v>
      </c>
      <c r="N36" t="s">
        <v>301</v>
      </c>
    </row>
    <row r="37" spans="1:14">
      <c r="A37" s="183">
        <v>1033</v>
      </c>
      <c r="B37" s="184">
        <v>2</v>
      </c>
      <c r="D37" s="186">
        <v>0</v>
      </c>
      <c r="F37" s="187"/>
      <c r="I37" s="183">
        <v>1025</v>
      </c>
      <c r="J37">
        <v>1029</v>
      </c>
      <c r="K37">
        <v>2010</v>
      </c>
      <c r="L37">
        <v>0</v>
      </c>
      <c r="M37" s="184" t="s">
        <v>202</v>
      </c>
      <c r="N37" t="s">
        <v>302</v>
      </c>
    </row>
    <row r="38" spans="1:14">
      <c r="A38" s="183">
        <v>1034</v>
      </c>
      <c r="B38" s="184">
        <v>2</v>
      </c>
      <c r="D38" s="186">
        <v>0</v>
      </c>
      <c r="F38" s="187" t="s">
        <v>303</v>
      </c>
      <c r="I38" s="183">
        <v>1026</v>
      </c>
      <c r="J38">
        <v>1029</v>
      </c>
      <c r="K38">
        <v>2010</v>
      </c>
      <c r="L38">
        <v>2</v>
      </c>
      <c r="M38" s="184" t="s">
        <v>202</v>
      </c>
      <c r="N38" t="s">
        <v>304</v>
      </c>
    </row>
    <row r="39" spans="1:14">
      <c r="A39" s="183">
        <v>1035</v>
      </c>
      <c r="B39" s="184">
        <v>2</v>
      </c>
      <c r="D39" s="186">
        <v>0</v>
      </c>
      <c r="F39" s="187" t="s">
        <v>305</v>
      </c>
      <c r="J39">
        <v>1029</v>
      </c>
      <c r="K39">
        <v>2010</v>
      </c>
      <c r="L39">
        <v>2</v>
      </c>
      <c r="M39" s="184" t="s">
        <v>202</v>
      </c>
      <c r="N39" t="s">
        <v>306</v>
      </c>
    </row>
    <row r="40" spans="1:14">
      <c r="A40">
        <v>4017</v>
      </c>
      <c r="B40">
        <v>2</v>
      </c>
      <c r="D40" s="186">
        <v>0</v>
      </c>
      <c r="K40">
        <v>2009</v>
      </c>
      <c r="L40">
        <v>2</v>
      </c>
      <c r="M40" s="184" t="s">
        <v>239</v>
      </c>
      <c r="N40" t="s">
        <v>307</v>
      </c>
    </row>
    <row r="41" spans="1:14">
      <c r="A41">
        <v>4018</v>
      </c>
      <c r="B41">
        <v>2</v>
      </c>
      <c r="D41" s="186">
        <v>0</v>
      </c>
      <c r="K41">
        <v>2009</v>
      </c>
      <c r="M41" s="184" t="s">
        <v>239</v>
      </c>
      <c r="N41" t="s">
        <v>308</v>
      </c>
    </row>
    <row r="42" spans="1:14">
      <c r="A42">
        <v>4019</v>
      </c>
      <c r="B42">
        <v>2</v>
      </c>
      <c r="D42" s="186">
        <v>0</v>
      </c>
      <c r="K42">
        <v>2009</v>
      </c>
      <c r="M42" s="184" t="s">
        <v>239</v>
      </c>
      <c r="N42" t="s">
        <v>309</v>
      </c>
    </row>
    <row r="43" spans="1:14">
      <c r="A43">
        <v>4020</v>
      </c>
      <c r="B43">
        <v>2</v>
      </c>
      <c r="D43" s="186">
        <v>0</v>
      </c>
      <c r="K43">
        <v>2009</v>
      </c>
      <c r="M43" s="184" t="s">
        <v>239</v>
      </c>
      <c r="N43" t="s">
        <v>310</v>
      </c>
    </row>
    <row r="44" spans="1:14">
      <c r="A44">
        <v>4021</v>
      </c>
      <c r="B44">
        <v>2</v>
      </c>
      <c r="D44" s="186">
        <v>0</v>
      </c>
      <c r="K44">
        <v>2009</v>
      </c>
      <c r="M44" s="184" t="s">
        <v>239</v>
      </c>
      <c r="N44" t="s">
        <v>311</v>
      </c>
    </row>
    <row r="45" spans="1:14">
      <c r="A45">
        <v>4022</v>
      </c>
      <c r="B45">
        <v>2</v>
      </c>
      <c r="D45" s="186">
        <v>0</v>
      </c>
      <c r="K45">
        <v>2009</v>
      </c>
      <c r="M45" s="184" t="s">
        <v>239</v>
      </c>
      <c r="N45" t="s">
        <v>312</v>
      </c>
    </row>
    <row r="46" spans="1:14">
      <c r="A46">
        <v>4023</v>
      </c>
      <c r="B46">
        <v>2</v>
      </c>
      <c r="D46" s="186">
        <v>0</v>
      </c>
      <c r="K46">
        <v>2009</v>
      </c>
      <c r="M46" s="184" t="s">
        <v>239</v>
      </c>
      <c r="N46" t="s">
        <v>313</v>
      </c>
    </row>
    <row r="47" spans="1:14">
      <c r="A47">
        <v>4024</v>
      </c>
      <c r="B47">
        <v>2</v>
      </c>
      <c r="D47" s="186">
        <v>0</v>
      </c>
      <c r="K47">
        <v>2009</v>
      </c>
      <c r="M47" s="184" t="s">
        <v>239</v>
      </c>
      <c r="N47" t="s">
        <v>314</v>
      </c>
    </row>
    <row r="48" spans="1:14">
      <c r="A48">
        <v>4025</v>
      </c>
      <c r="B48">
        <v>2</v>
      </c>
      <c r="D48" s="186">
        <v>0</v>
      </c>
      <c r="K48">
        <v>2009</v>
      </c>
      <c r="M48" s="184" t="s">
        <v>239</v>
      </c>
      <c r="N48" t="s">
        <v>315</v>
      </c>
    </row>
    <row r="49" spans="1:14">
      <c r="A49">
        <v>4026</v>
      </c>
      <c r="B49">
        <v>2</v>
      </c>
      <c r="D49" s="186">
        <v>0</v>
      </c>
      <c r="K49">
        <v>2009</v>
      </c>
      <c r="M49" s="184" t="s">
        <v>239</v>
      </c>
      <c r="N49" t="s">
        <v>316</v>
      </c>
    </row>
    <row r="50" spans="1:14">
      <c r="A50">
        <v>4027</v>
      </c>
      <c r="B50">
        <v>2</v>
      </c>
      <c r="D50" s="186">
        <v>0</v>
      </c>
      <c r="K50">
        <v>2009</v>
      </c>
      <c r="M50" s="184" t="s">
        <v>239</v>
      </c>
      <c r="N50" t="s">
        <v>317</v>
      </c>
    </row>
    <row r="51" spans="1:14">
      <c r="A51">
        <v>4028</v>
      </c>
      <c r="B51">
        <v>2</v>
      </c>
      <c r="D51" s="186">
        <v>0</v>
      </c>
      <c r="K51">
        <v>2009</v>
      </c>
      <c r="M51" s="184" t="s">
        <v>239</v>
      </c>
      <c r="N51" t="s">
        <v>318</v>
      </c>
    </row>
    <row r="52" spans="1:14">
      <c r="A52">
        <v>4029</v>
      </c>
      <c r="B52">
        <v>2</v>
      </c>
      <c r="D52" s="186">
        <v>0</v>
      </c>
      <c r="K52">
        <v>2009</v>
      </c>
      <c r="M52" s="184" t="s">
        <v>239</v>
      </c>
      <c r="N52" t="s">
        <v>319</v>
      </c>
    </row>
    <row r="53" spans="1:14">
      <c r="A53">
        <v>4030</v>
      </c>
      <c r="B53">
        <v>2</v>
      </c>
      <c r="D53" s="186">
        <v>0</v>
      </c>
      <c r="K53">
        <v>2009</v>
      </c>
      <c r="M53" s="184" t="s">
        <v>239</v>
      </c>
      <c r="N53" t="s">
        <v>320</v>
      </c>
    </row>
    <row r="54" spans="1:14">
      <c r="A54">
        <v>4031</v>
      </c>
      <c r="B54">
        <v>2</v>
      </c>
      <c r="D54" s="186">
        <v>0</v>
      </c>
      <c r="K54">
        <v>2009</v>
      </c>
      <c r="M54" s="184" t="s">
        <v>239</v>
      </c>
      <c r="N54" t="s">
        <v>321</v>
      </c>
    </row>
    <row r="55" spans="1:14">
      <c r="A55">
        <v>4032</v>
      </c>
      <c r="B55">
        <v>2</v>
      </c>
      <c r="D55" s="186">
        <v>0</v>
      </c>
      <c r="K55">
        <v>2009</v>
      </c>
      <c r="M55" s="184" t="s">
        <v>239</v>
      </c>
      <c r="N55" t="s">
        <v>322</v>
      </c>
    </row>
    <row r="56" spans="1:14">
      <c r="A56">
        <v>4033</v>
      </c>
      <c r="B56">
        <v>2</v>
      </c>
      <c r="D56" s="186">
        <v>0</v>
      </c>
      <c r="K56">
        <v>2009</v>
      </c>
      <c r="M56" s="184" t="s">
        <v>239</v>
      </c>
      <c r="N56" t="s">
        <v>323</v>
      </c>
    </row>
    <row r="57" spans="1:14">
      <c r="A57">
        <v>4034</v>
      </c>
      <c r="B57">
        <v>2</v>
      </c>
      <c r="D57" s="186">
        <v>0</v>
      </c>
      <c r="K57">
        <v>2009</v>
      </c>
      <c r="M57" s="184" t="s">
        <v>239</v>
      </c>
      <c r="N57" t="s">
        <v>324</v>
      </c>
    </row>
    <row r="58" spans="1:14">
      <c r="A58">
        <v>4035</v>
      </c>
      <c r="B58">
        <v>2</v>
      </c>
      <c r="D58" s="186">
        <v>0</v>
      </c>
      <c r="K58">
        <v>2009</v>
      </c>
      <c r="M58" s="184" t="s">
        <v>239</v>
      </c>
      <c r="N58" t="s">
        <v>325</v>
      </c>
    </row>
    <row r="59" spans="1:14">
      <c r="A59">
        <v>4036</v>
      </c>
      <c r="B59">
        <v>2</v>
      </c>
      <c r="D59" s="186">
        <v>0</v>
      </c>
      <c r="K59">
        <v>2009</v>
      </c>
      <c r="M59" s="184" t="s">
        <v>239</v>
      </c>
      <c r="N59" t="s">
        <v>326</v>
      </c>
    </row>
    <row r="60" spans="1:14">
      <c r="A60">
        <v>4037</v>
      </c>
      <c r="B60">
        <v>2</v>
      </c>
      <c r="D60" s="186">
        <v>0</v>
      </c>
      <c r="K60">
        <v>2009</v>
      </c>
      <c r="M60" s="184" t="s">
        <v>239</v>
      </c>
      <c r="N60" t="s">
        <v>327</v>
      </c>
    </row>
    <row r="61" spans="1:14">
      <c r="A61">
        <v>4038</v>
      </c>
      <c r="B61">
        <v>2</v>
      </c>
      <c r="D61" s="186">
        <v>0</v>
      </c>
      <c r="K61">
        <v>2009</v>
      </c>
      <c r="M61" s="184" t="s">
        <v>239</v>
      </c>
      <c r="N61" t="s">
        <v>328</v>
      </c>
    </row>
    <row r="62" spans="1:14">
      <c r="A62">
        <v>4039</v>
      </c>
      <c r="B62">
        <v>2</v>
      </c>
      <c r="D62" s="186">
        <v>0</v>
      </c>
      <c r="K62">
        <v>2009</v>
      </c>
      <c r="M62" s="184" t="s">
        <v>239</v>
      </c>
      <c r="N62" t="s">
        <v>329</v>
      </c>
    </row>
    <row r="63" spans="1:14">
      <c r="A63">
        <v>4040</v>
      </c>
      <c r="B63">
        <v>2</v>
      </c>
      <c r="D63" s="186">
        <v>0</v>
      </c>
      <c r="K63">
        <v>2009</v>
      </c>
      <c r="M63" s="184" t="s">
        <v>239</v>
      </c>
      <c r="N63" t="s">
        <v>330</v>
      </c>
    </row>
    <row r="64" spans="1:14">
      <c r="A64">
        <v>4041</v>
      </c>
      <c r="B64">
        <v>2</v>
      </c>
      <c r="D64" s="186">
        <v>0</v>
      </c>
      <c r="K64">
        <v>2009</v>
      </c>
      <c r="M64" s="184" t="s">
        <v>239</v>
      </c>
      <c r="N64" t="s">
        <v>331</v>
      </c>
    </row>
    <row r="65" spans="1:14">
      <c r="A65">
        <v>4042</v>
      </c>
      <c r="B65">
        <v>2</v>
      </c>
      <c r="D65" s="186">
        <v>0</v>
      </c>
      <c r="K65">
        <v>2009</v>
      </c>
      <c r="M65" s="184" t="s">
        <v>239</v>
      </c>
      <c r="N65" t="s">
        <v>332</v>
      </c>
    </row>
    <row r="66" spans="1:14">
      <c r="A66">
        <v>4043</v>
      </c>
      <c r="B66">
        <v>2</v>
      </c>
      <c r="D66" s="186">
        <v>0</v>
      </c>
      <c r="K66">
        <v>2009</v>
      </c>
      <c r="M66" s="184" t="s">
        <v>239</v>
      </c>
      <c r="N66" t="s">
        <v>333</v>
      </c>
    </row>
  </sheetData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E33"/>
  <sheetViews>
    <sheetView workbookViewId="0">
      <selection activeCell="C4" sqref="C4"/>
    </sheetView>
  </sheetViews>
  <sheetFormatPr defaultColWidth="9" defaultRowHeight="14.25" outlineLevelCol="4"/>
  <cols>
    <col min="1" max="1" width="18.3333333333333" style="165" customWidth="1"/>
    <col min="2" max="2" width="37.875" style="165" customWidth="1"/>
    <col min="3" max="3" width="15.875" style="165" customWidth="1"/>
    <col min="4" max="4" width="35.5833333333333" style="165" customWidth="1"/>
    <col min="5" max="5" width="24.5833333333333" style="165" customWidth="1"/>
    <col min="6" max="6" width="30.875" style="165" customWidth="1"/>
    <col min="7" max="16384" width="9" style="165"/>
  </cols>
  <sheetData>
    <row r="1" ht="58" customHeight="1" spans="1:5">
      <c r="A1" s="166" t="s">
        <v>334</v>
      </c>
      <c r="B1" s="166" t="s">
        <v>335</v>
      </c>
      <c r="C1" s="166" t="s">
        <v>336</v>
      </c>
      <c r="D1" s="166" t="s">
        <v>337</v>
      </c>
      <c r="E1" s="166" t="s">
        <v>338</v>
      </c>
    </row>
    <row r="2" ht="99.75" spans="1:5">
      <c r="A2" s="167" t="s">
        <v>339</v>
      </c>
      <c r="B2" s="167"/>
      <c r="C2" s="167" t="s">
        <v>340</v>
      </c>
      <c r="D2" s="167" t="s">
        <v>341</v>
      </c>
      <c r="E2" s="167" t="s">
        <v>342</v>
      </c>
    </row>
    <row r="3" s="164" customFormat="1" spans="1:5">
      <c r="A3" s="37" t="s">
        <v>21</v>
      </c>
      <c r="B3" s="164" t="s">
        <v>343</v>
      </c>
      <c r="C3" s="164" t="s">
        <v>344</v>
      </c>
      <c r="D3" s="164" t="s">
        <v>345</v>
      </c>
      <c r="E3" s="164" t="s">
        <v>346</v>
      </c>
    </row>
    <row r="4" ht="85.5" spans="1:5">
      <c r="A4" s="168">
        <v>1</v>
      </c>
      <c r="B4" s="168" t="s">
        <v>347</v>
      </c>
      <c r="C4" s="165">
        <v>32</v>
      </c>
      <c r="D4" s="169" t="s">
        <v>348</v>
      </c>
      <c r="E4" s="165">
        <v>390</v>
      </c>
    </row>
    <row r="5" ht="85.5" spans="1:5">
      <c r="A5" s="168">
        <v>2</v>
      </c>
      <c r="B5" s="168" t="s">
        <v>349</v>
      </c>
      <c r="C5" s="165">
        <v>32</v>
      </c>
      <c r="D5" s="169" t="s">
        <v>350</v>
      </c>
      <c r="E5" s="165">
        <v>390</v>
      </c>
    </row>
    <row r="6" ht="90" customHeight="1" spans="1:5">
      <c r="A6" s="168">
        <v>3</v>
      </c>
      <c r="B6" s="168" t="s">
        <v>351</v>
      </c>
      <c r="C6" s="165">
        <v>32</v>
      </c>
      <c r="D6" s="169" t="s">
        <v>352</v>
      </c>
      <c r="E6" s="165">
        <v>390</v>
      </c>
    </row>
    <row r="7" ht="71.25" spans="1:5">
      <c r="A7" s="168">
        <v>4</v>
      </c>
      <c r="B7" s="168" t="s">
        <v>353</v>
      </c>
      <c r="C7" s="165">
        <v>32</v>
      </c>
      <c r="D7" s="169" t="s">
        <v>354</v>
      </c>
      <c r="E7" s="165">
        <v>390</v>
      </c>
    </row>
    <row r="8" ht="90" customHeight="1" spans="1:5">
      <c r="A8" s="168">
        <v>5</v>
      </c>
      <c r="B8" s="168" t="s">
        <v>355</v>
      </c>
      <c r="C8" s="165">
        <v>32</v>
      </c>
      <c r="D8" s="169" t="s">
        <v>356</v>
      </c>
      <c r="E8" s="165">
        <v>390</v>
      </c>
    </row>
    <row r="9" ht="102" customHeight="1" spans="1:5">
      <c r="A9" s="168">
        <v>6</v>
      </c>
      <c r="B9" s="168" t="s">
        <v>357</v>
      </c>
      <c r="C9" s="165">
        <v>32</v>
      </c>
      <c r="D9" s="169" t="s">
        <v>358</v>
      </c>
      <c r="E9" s="165">
        <v>390</v>
      </c>
    </row>
    <row r="10" ht="99" customHeight="1" spans="1:5">
      <c r="A10" s="168">
        <v>7</v>
      </c>
      <c r="B10" s="168" t="s">
        <v>359</v>
      </c>
      <c r="C10" s="165">
        <v>32</v>
      </c>
      <c r="D10" s="169" t="s">
        <v>360</v>
      </c>
      <c r="E10" s="165">
        <v>390</v>
      </c>
    </row>
    <row r="11" ht="85.5" spans="1:5">
      <c r="A11" s="168">
        <v>8</v>
      </c>
      <c r="B11" s="168" t="s">
        <v>361</v>
      </c>
      <c r="C11" s="165">
        <v>32</v>
      </c>
      <c r="D11" s="169" t="s">
        <v>362</v>
      </c>
      <c r="E11" s="165">
        <v>390</v>
      </c>
    </row>
    <row r="12" ht="85.5" spans="1:5">
      <c r="A12" s="168">
        <v>9</v>
      </c>
      <c r="B12" s="168" t="s">
        <v>363</v>
      </c>
      <c r="C12" s="165">
        <v>32</v>
      </c>
      <c r="D12" s="169" t="s">
        <v>364</v>
      </c>
      <c r="E12" s="165">
        <v>390</v>
      </c>
    </row>
    <row r="13" ht="85.5" spans="1:5">
      <c r="A13" s="168">
        <v>10</v>
      </c>
      <c r="B13" s="168" t="s">
        <v>365</v>
      </c>
      <c r="C13" s="165">
        <v>32</v>
      </c>
      <c r="D13" s="169" t="s">
        <v>366</v>
      </c>
      <c r="E13" s="165">
        <v>390</v>
      </c>
    </row>
    <row r="14" ht="112" customHeight="1" spans="1:5">
      <c r="A14" s="168">
        <v>11</v>
      </c>
      <c r="B14" s="168" t="s">
        <v>367</v>
      </c>
      <c r="C14" s="165">
        <v>32</v>
      </c>
      <c r="D14" s="169" t="s">
        <v>368</v>
      </c>
      <c r="E14" s="165">
        <v>390</v>
      </c>
    </row>
    <row r="15" ht="111.75" customHeight="1" spans="1:5">
      <c r="A15" s="168">
        <v>12</v>
      </c>
      <c r="B15" s="168" t="s">
        <v>369</v>
      </c>
      <c r="C15" s="165">
        <v>32</v>
      </c>
      <c r="D15" s="169" t="s">
        <v>370</v>
      </c>
      <c r="E15" s="165">
        <v>390</v>
      </c>
    </row>
    <row r="16" ht="110" customHeight="1" spans="1:5">
      <c r="A16" s="168">
        <v>13</v>
      </c>
      <c r="B16" s="168" t="s">
        <v>371</v>
      </c>
      <c r="C16" s="165">
        <v>32</v>
      </c>
      <c r="D16" s="169" t="s">
        <v>372</v>
      </c>
      <c r="E16" s="165">
        <v>390</v>
      </c>
    </row>
    <row r="17" ht="141" customHeight="1" spans="1:5">
      <c r="A17" s="168">
        <v>14</v>
      </c>
      <c r="B17" s="168" t="s">
        <v>373</v>
      </c>
      <c r="C17" s="165">
        <v>32</v>
      </c>
      <c r="D17" s="169" t="s">
        <v>350</v>
      </c>
      <c r="E17" s="165">
        <v>390</v>
      </c>
    </row>
    <row r="18" ht="114" customHeight="1" spans="1:5">
      <c r="A18" s="168">
        <v>15</v>
      </c>
      <c r="B18" s="168" t="s">
        <v>374</v>
      </c>
      <c r="C18" s="165">
        <v>32</v>
      </c>
      <c r="D18" s="169" t="s">
        <v>375</v>
      </c>
      <c r="E18" s="165">
        <v>390</v>
      </c>
    </row>
    <row r="19" ht="152" customHeight="1" spans="1:5">
      <c r="A19" s="168">
        <v>16</v>
      </c>
      <c r="B19" s="168" t="s">
        <v>376</v>
      </c>
      <c r="C19" s="165">
        <v>32</v>
      </c>
      <c r="D19" s="169" t="s">
        <v>364</v>
      </c>
      <c r="E19" s="165">
        <v>390</v>
      </c>
    </row>
    <row r="20" s="165" customFormat="1" ht="144" customHeight="1" spans="1:5">
      <c r="A20" s="168">
        <v>17</v>
      </c>
      <c r="B20" s="168" t="s">
        <v>377</v>
      </c>
      <c r="C20" s="165">
        <v>32</v>
      </c>
      <c r="D20" s="169" t="s">
        <v>364</v>
      </c>
      <c r="E20" s="165">
        <v>390</v>
      </c>
    </row>
    <row r="21" spans="2:4">
      <c r="B21" s="170"/>
      <c r="D21" s="169"/>
    </row>
    <row r="22" spans="2:4">
      <c r="B22" s="170"/>
      <c r="D22" s="169"/>
    </row>
    <row r="23" spans="2:4">
      <c r="B23" s="170"/>
      <c r="D23" s="169"/>
    </row>
    <row r="24" spans="2:4">
      <c r="B24" s="170"/>
      <c r="D24" s="169"/>
    </row>
    <row r="25" spans="2:4">
      <c r="B25" s="170"/>
      <c r="D25" s="169"/>
    </row>
    <row r="26" spans="2:4">
      <c r="B26" s="170"/>
      <c r="D26" s="169"/>
    </row>
    <row r="27" spans="2:4">
      <c r="B27" s="170"/>
      <c r="D27" s="169"/>
    </row>
    <row r="28" spans="2:4">
      <c r="B28" s="170"/>
      <c r="D28" s="169"/>
    </row>
    <row r="29" spans="2:4">
      <c r="B29" s="170"/>
      <c r="D29" s="169"/>
    </row>
    <row r="30" spans="2:4">
      <c r="B30" s="170"/>
      <c r="D30" s="169"/>
    </row>
    <row r="31" spans="2:4">
      <c r="B31" s="170"/>
      <c r="D31" s="169"/>
    </row>
    <row r="32" spans="2:4">
      <c r="B32" s="170"/>
      <c r="D32" s="169"/>
    </row>
    <row r="33" spans="2:4">
      <c r="B33" s="170"/>
      <c r="D33" s="169"/>
    </row>
  </sheetData>
  <pageMargins left="0.75" right="0.75" top="1" bottom="1" header="0.511805555555556" footer="0.511805555555556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E4"/>
  <sheetViews>
    <sheetView workbookViewId="0">
      <selection activeCell="A1" sqref="A1"/>
    </sheetView>
  </sheetViews>
  <sheetFormatPr defaultColWidth="9" defaultRowHeight="40" customHeight="1" outlineLevelRow="3" outlineLevelCol="4"/>
  <cols>
    <col min="1" max="1" width="12.8333333333333" style="149" customWidth="1"/>
    <col min="2" max="2" width="64.1" style="149" customWidth="1"/>
    <col min="3" max="3" width="72.675" style="150" customWidth="1"/>
    <col min="4" max="4" width="41.75" style="151" customWidth="1"/>
    <col min="5" max="5" width="28.5666666666667" style="152" customWidth="1"/>
    <col min="6" max="16375" width="9" style="149"/>
  </cols>
  <sheetData>
    <row r="1" ht="59.15" customHeight="1" spans="1:5">
      <c r="A1" s="153" t="s">
        <v>0</v>
      </c>
      <c r="B1" s="153" t="s">
        <v>378</v>
      </c>
      <c r="C1" s="154" t="s">
        <v>379</v>
      </c>
      <c r="D1" s="155" t="s">
        <v>5</v>
      </c>
      <c r="E1" s="156"/>
    </row>
    <row r="2" ht="195" customHeight="1" spans="1:5">
      <c r="A2" s="153" t="s">
        <v>380</v>
      </c>
      <c r="B2" s="153" t="s">
        <v>381</v>
      </c>
      <c r="C2" s="157" t="s">
        <v>382</v>
      </c>
      <c r="D2" s="158" t="s">
        <v>16</v>
      </c>
      <c r="E2" s="159" t="s">
        <v>383</v>
      </c>
    </row>
    <row r="3" customHeight="1" spans="1:5">
      <c r="A3" s="160" t="s">
        <v>21</v>
      </c>
      <c r="B3" s="149" t="s">
        <v>384</v>
      </c>
      <c r="C3" s="161" t="s">
        <v>385</v>
      </c>
      <c r="D3" s="151" t="s">
        <v>29</v>
      </c>
      <c r="E3" s="152" t="s">
        <v>27</v>
      </c>
    </row>
    <row r="4" ht="180" customHeight="1" spans="1:5">
      <c r="A4" s="149">
        <v>1</v>
      </c>
      <c r="B4" s="162" t="s">
        <v>386</v>
      </c>
      <c r="C4" s="150" t="s">
        <v>387</v>
      </c>
      <c r="D4" s="162" t="s">
        <v>388</v>
      </c>
      <c r="E4" s="163" t="s">
        <v>389</v>
      </c>
    </row>
  </sheetData>
  <pageMargins left="0.75" right="0.75" top="1" bottom="1" header="0.510416666666667" footer="0.510416666666667"/>
  <pageSetup paperSize="9" orientation="portrait"/>
  <headerFooter alignWithMargins="0" scaleWithDoc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D12"/>
  <sheetViews>
    <sheetView workbookViewId="0">
      <selection activeCell="D2" sqref="D2"/>
    </sheetView>
  </sheetViews>
  <sheetFormatPr defaultColWidth="9" defaultRowHeight="14.25" outlineLevelCol="3"/>
  <cols>
    <col min="1" max="1" width="29.75" customWidth="1"/>
    <col min="2" max="2" width="90.875" customWidth="1"/>
    <col min="3" max="3" width="26.5" style="29" customWidth="1"/>
    <col min="4" max="4" width="83.875" customWidth="1"/>
  </cols>
  <sheetData>
    <row r="1" spans="1:3">
      <c r="A1" s="144" t="s">
        <v>390</v>
      </c>
      <c r="B1" s="144" t="s">
        <v>391</v>
      </c>
      <c r="C1" s="144" t="s">
        <v>88</v>
      </c>
    </row>
    <row r="2" ht="135" customHeight="1" spans="1:3">
      <c r="A2" s="144"/>
      <c r="B2" s="144" t="s">
        <v>392</v>
      </c>
      <c r="C2" s="39"/>
    </row>
    <row r="3" spans="1:3">
      <c r="A3" s="145" t="s">
        <v>393</v>
      </c>
      <c r="B3" s="124" t="s">
        <v>394</v>
      </c>
      <c r="C3" s="39"/>
    </row>
    <row r="4" ht="99.75" spans="1:4">
      <c r="A4" s="146" t="s">
        <v>395</v>
      </c>
      <c r="B4" s="147" t="s">
        <v>396</v>
      </c>
      <c r="C4" s="39" t="s">
        <v>397</v>
      </c>
      <c r="D4" t="s">
        <v>398</v>
      </c>
    </row>
    <row r="5" ht="99.75" spans="1:3">
      <c r="A5" s="146" t="s">
        <v>399</v>
      </c>
      <c r="B5" s="147" t="s">
        <v>400</v>
      </c>
      <c r="C5" s="39" t="s">
        <v>401</v>
      </c>
    </row>
    <row r="6" customFormat="1" ht="99.75" spans="1:3">
      <c r="A6" s="146" t="s">
        <v>402</v>
      </c>
      <c r="B6" s="147" t="s">
        <v>403</v>
      </c>
      <c r="C6" s="39" t="s">
        <v>404</v>
      </c>
    </row>
    <row r="7" customFormat="1" ht="118" customHeight="1" spans="1:3">
      <c r="A7" s="146" t="s">
        <v>405</v>
      </c>
      <c r="B7" s="147" t="str">
        <f>'!1经济'!G39&amp;CHAR(10)&amp;'!1经济'!G40&amp;CHAR(10)&amp;'!1经济'!G41&amp;CHAR(10)&amp;'!1经济'!G42&amp;CHAR(10)&amp;'!1经济'!G43&amp;CHAR(10)&amp;'!1经济'!G44&amp;CHAR(10)&amp;'!1经济'!G45</f>
        <v>diamond:100;propid:10001;num:3,
diamond:50;propid:10002;num:3,
diamond:38;propid:10003;num:3,
diamond:50;propid:10004;num:3,
diamond:50;propid:10005;num:3,
diamond:100;propid:10006;num:3,
diamond:38;propid:10007;num:3,</v>
      </c>
      <c r="C7" s="39" t="s">
        <v>406</v>
      </c>
    </row>
    <row r="8" customFormat="1" ht="71.25" spans="1:4">
      <c r="A8" s="146" t="s">
        <v>407</v>
      </c>
      <c r="B8" s="147" t="s">
        <v>408</v>
      </c>
      <c r="C8" s="39" t="s">
        <v>409</v>
      </c>
      <c r="D8" t="s">
        <v>410</v>
      </c>
    </row>
    <row r="9" ht="70" customHeight="1" spans="1:4">
      <c r="A9" s="146" t="s">
        <v>411</v>
      </c>
      <c r="B9" s="147" t="s">
        <v>412</v>
      </c>
      <c r="C9" s="39" t="s">
        <v>413</v>
      </c>
      <c r="D9" t="s">
        <v>410</v>
      </c>
    </row>
    <row r="10" ht="171" spans="1:3">
      <c r="A10" s="146" t="s">
        <v>414</v>
      </c>
      <c r="B10" s="147" t="s">
        <v>415</v>
      </c>
      <c r="C10" s="148" t="s">
        <v>416</v>
      </c>
    </row>
    <row r="11" ht="26" customHeight="1" spans="1:3">
      <c r="A11" s="146" t="s">
        <v>417</v>
      </c>
      <c r="B11" s="39" t="s">
        <v>418</v>
      </c>
      <c r="C11" s="29" t="s">
        <v>419</v>
      </c>
    </row>
    <row r="12" spans="1:3">
      <c r="A12" s="146" t="s">
        <v>420</v>
      </c>
      <c r="B12" s="39" t="s">
        <v>421</v>
      </c>
      <c r="C12" s="29" t="s">
        <v>422</v>
      </c>
    </row>
  </sheetData>
  <pageMargins left="0.75" right="0.75" top="1" bottom="1" header="0.511805555555556" footer="0.511805555555556"/>
  <pageSetup paperSize="9" orientation="portrait" horizontalDpi="300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tabColor theme="5"/>
  </sheetPr>
  <dimension ref="A1:M45"/>
  <sheetViews>
    <sheetView workbookViewId="0">
      <selection activeCell="N17" sqref="N17"/>
    </sheetView>
  </sheetViews>
  <sheetFormatPr defaultColWidth="9" defaultRowHeight="13.5" customHeight="1"/>
  <cols>
    <col min="1" max="1" width="3.625" style="61" customWidth="1"/>
    <col min="2" max="2" width="5" customWidth="1"/>
    <col min="3" max="3" width="6.5" style="39" customWidth="1"/>
    <col min="4" max="4" width="8.75" customWidth="1"/>
    <col min="5" max="5" width="7.375" customWidth="1"/>
    <col min="6" max="6" width="7" customWidth="1"/>
    <col min="7" max="7" width="6.625" customWidth="1"/>
    <col min="8" max="8" width="5.375" customWidth="1"/>
    <col min="9" max="9" width="6.25" customWidth="1"/>
    <col min="10" max="10" width="6.125" customWidth="1"/>
    <col min="11" max="11" width="35.75" customWidth="1"/>
    <col min="12" max="12" width="20.5" customWidth="1"/>
  </cols>
  <sheetData>
    <row r="1" customHeight="1" spans="1:11">
      <c r="A1" s="113" t="s">
        <v>423</v>
      </c>
      <c r="B1" s="114"/>
      <c r="D1" s="39"/>
      <c r="E1" s="39"/>
      <c r="F1" s="39" t="s">
        <v>424</v>
      </c>
      <c r="G1" s="39" t="s">
        <v>425</v>
      </c>
      <c r="H1" s="39"/>
      <c r="I1" s="39" t="s">
        <v>426</v>
      </c>
      <c r="J1" s="39" t="s">
        <v>427</v>
      </c>
      <c r="K1" s="39"/>
    </row>
    <row r="2" customHeight="1" spans="1:13">
      <c r="A2" s="115"/>
      <c r="B2" s="116" t="s">
        <v>428</v>
      </c>
      <c r="C2" s="117" t="s">
        <v>85</v>
      </c>
      <c r="D2" s="117" t="s">
        <v>429</v>
      </c>
      <c r="E2" s="117" t="s">
        <v>430</v>
      </c>
      <c r="F2" s="117" t="s">
        <v>431</v>
      </c>
      <c r="G2" s="117" t="s">
        <v>432</v>
      </c>
      <c r="H2" s="117"/>
      <c r="I2" s="117" t="s">
        <v>433</v>
      </c>
      <c r="J2" s="117" t="s">
        <v>434</v>
      </c>
      <c r="K2" s="117"/>
      <c r="L2" s="130" t="s">
        <v>435</v>
      </c>
      <c r="M2" s="130" t="s">
        <v>436</v>
      </c>
    </row>
    <row r="3" customHeight="1" spans="1:13">
      <c r="A3" s="115"/>
      <c r="B3" s="118">
        <v>1</v>
      </c>
      <c r="C3" s="118">
        <v>2001</v>
      </c>
      <c r="D3" s="119" t="s">
        <v>437</v>
      </c>
      <c r="E3" s="4">
        <v>1</v>
      </c>
      <c r="F3" s="4">
        <v>8</v>
      </c>
      <c r="G3" s="4">
        <v>0</v>
      </c>
      <c r="H3" s="4"/>
      <c r="I3" s="4">
        <v>6</v>
      </c>
      <c r="J3" s="131">
        <v>1</v>
      </c>
      <c r="K3" s="131"/>
      <c r="L3" s="132" t="str">
        <f>$G$1&amp;G3&amp;";"&amp;$F$1&amp;F3&amp;";"&amp;$I$1&amp;I3&amp;";"&amp;$J$1&amp;J3&amp;","</f>
        <v>sg:0;time:8;char:6;num:1,</v>
      </c>
      <c r="M3" s="39">
        <f>SUM(G3:G14)</f>
        <v>7200</v>
      </c>
    </row>
    <row r="4" customHeight="1" spans="1:13">
      <c r="A4" s="115"/>
      <c r="B4" s="120"/>
      <c r="C4" s="120"/>
      <c r="D4" s="119"/>
      <c r="E4" s="4">
        <v>2</v>
      </c>
      <c r="F4" s="4">
        <v>6</v>
      </c>
      <c r="G4" s="4">
        <v>500</v>
      </c>
      <c r="H4" s="4"/>
      <c r="I4" s="131">
        <v>8</v>
      </c>
      <c r="J4" s="131">
        <v>2</v>
      </c>
      <c r="K4" s="131"/>
      <c r="L4" s="133" t="str">
        <f t="shared" ref="L4:L14" si="0">$G$1&amp;G4&amp;";"&amp;$F$1&amp;F4&amp;";"&amp;$I$1&amp;I4&amp;";"&amp;$J$1&amp;J4&amp;","</f>
        <v>sg:500;time:6;char:8;num:2,</v>
      </c>
      <c r="M4" s="39"/>
    </row>
    <row r="5" customHeight="1" spans="1:13">
      <c r="A5" s="115"/>
      <c r="B5" s="121"/>
      <c r="C5" s="121"/>
      <c r="D5" s="119"/>
      <c r="E5" s="4">
        <v>3</v>
      </c>
      <c r="F5" s="4">
        <v>4</v>
      </c>
      <c r="G5" s="4">
        <v>1500</v>
      </c>
      <c r="H5" s="4"/>
      <c r="I5" s="131">
        <v>10</v>
      </c>
      <c r="J5" s="131">
        <v>3</v>
      </c>
      <c r="K5" s="131"/>
      <c r="L5" s="133" t="str">
        <f t="shared" si="0"/>
        <v>sg:1500;time:4;char:10;num:3,</v>
      </c>
      <c r="M5" s="39"/>
    </row>
    <row r="6" customHeight="1" spans="1:13">
      <c r="A6" s="115"/>
      <c r="B6" s="118">
        <v>1</v>
      </c>
      <c r="C6" s="118">
        <v>2002</v>
      </c>
      <c r="D6" s="6" t="s">
        <v>438</v>
      </c>
      <c r="E6" s="7">
        <v>1</v>
      </c>
      <c r="F6" s="7">
        <v>8</v>
      </c>
      <c r="G6" s="7">
        <v>0</v>
      </c>
      <c r="H6" s="7"/>
      <c r="I6" s="134">
        <v>6</v>
      </c>
      <c r="J6" s="134">
        <v>1</v>
      </c>
      <c r="K6" s="134"/>
      <c r="L6" s="133" t="str">
        <f t="shared" si="0"/>
        <v>sg:0;time:8;char:6;num:1,</v>
      </c>
      <c r="M6" s="39"/>
    </row>
    <row r="7" customHeight="1" spans="1:13">
      <c r="A7" s="115"/>
      <c r="B7" s="120"/>
      <c r="C7" s="120"/>
      <c r="D7" s="119"/>
      <c r="E7" s="4">
        <v>2</v>
      </c>
      <c r="F7" s="4">
        <v>6</v>
      </c>
      <c r="G7" s="4">
        <v>100</v>
      </c>
      <c r="H7" s="4"/>
      <c r="I7" s="131">
        <v>8</v>
      </c>
      <c r="J7" s="131">
        <v>2</v>
      </c>
      <c r="K7" s="131"/>
      <c r="L7" s="133" t="str">
        <f t="shared" si="0"/>
        <v>sg:100;time:6;char:8;num:2,</v>
      </c>
      <c r="M7" s="39"/>
    </row>
    <row r="8" customHeight="1" spans="1:13">
      <c r="A8" s="115"/>
      <c r="B8" s="121"/>
      <c r="C8" s="121"/>
      <c r="D8" s="122"/>
      <c r="E8" s="123">
        <v>3</v>
      </c>
      <c r="F8" s="123">
        <v>4</v>
      </c>
      <c r="G8" s="123">
        <v>1500</v>
      </c>
      <c r="H8" s="123"/>
      <c r="I8" s="135">
        <v>10</v>
      </c>
      <c r="J8" s="135">
        <v>3</v>
      </c>
      <c r="K8" s="135"/>
      <c r="L8" s="133" t="str">
        <f t="shared" si="0"/>
        <v>sg:1500;time:4;char:10;num:3,</v>
      </c>
      <c r="M8" s="39"/>
    </row>
    <row r="9" customHeight="1" spans="1:13">
      <c r="A9" s="115"/>
      <c r="B9" s="118">
        <v>1</v>
      </c>
      <c r="C9" s="118">
        <v>2003</v>
      </c>
      <c r="D9" s="6" t="s">
        <v>439</v>
      </c>
      <c r="E9" s="7">
        <v>1</v>
      </c>
      <c r="F9" s="7">
        <v>10</v>
      </c>
      <c r="G9" s="7">
        <v>0</v>
      </c>
      <c r="H9" s="7"/>
      <c r="I9" s="134">
        <v>8</v>
      </c>
      <c r="J9" s="134">
        <v>1</v>
      </c>
      <c r="K9" s="134"/>
      <c r="L9" s="133" t="str">
        <f t="shared" si="0"/>
        <v>sg:0;time:10;char:8;num:1,</v>
      </c>
      <c r="M9" s="39"/>
    </row>
    <row r="10" customHeight="1" spans="1:13">
      <c r="A10" s="115"/>
      <c r="B10" s="120"/>
      <c r="C10" s="120"/>
      <c r="D10" s="119"/>
      <c r="E10" s="4">
        <v>2</v>
      </c>
      <c r="F10" s="4">
        <v>8</v>
      </c>
      <c r="G10" s="4">
        <v>100</v>
      </c>
      <c r="H10" s="4"/>
      <c r="I10" s="131">
        <v>10</v>
      </c>
      <c r="J10" s="131">
        <v>2</v>
      </c>
      <c r="K10" s="131"/>
      <c r="L10" s="133" t="str">
        <f t="shared" si="0"/>
        <v>sg:100;time:8;char:10;num:2,</v>
      </c>
      <c r="M10" s="39"/>
    </row>
    <row r="11" customHeight="1" spans="1:13">
      <c r="A11" s="115"/>
      <c r="B11" s="121"/>
      <c r="C11" s="121"/>
      <c r="D11" s="122"/>
      <c r="E11" s="123">
        <v>3</v>
      </c>
      <c r="F11" s="123">
        <v>6</v>
      </c>
      <c r="G11" s="123">
        <v>1500</v>
      </c>
      <c r="H11" s="123"/>
      <c r="I11" s="135">
        <v>12</v>
      </c>
      <c r="J11" s="135">
        <v>3</v>
      </c>
      <c r="K11" s="135"/>
      <c r="L11" s="133" t="str">
        <f t="shared" si="0"/>
        <v>sg:1500;time:6;char:12;num:3,</v>
      </c>
      <c r="M11" s="39"/>
    </row>
    <row r="12" customHeight="1" spans="1:13">
      <c r="A12" s="115"/>
      <c r="B12" s="120">
        <v>10</v>
      </c>
      <c r="C12" s="120">
        <v>2004</v>
      </c>
      <c r="D12" s="6" t="s">
        <v>440</v>
      </c>
      <c r="E12" s="7">
        <v>1</v>
      </c>
      <c r="F12" s="7">
        <v>10</v>
      </c>
      <c r="G12" s="7">
        <v>0</v>
      </c>
      <c r="H12" s="7"/>
      <c r="I12" s="134">
        <v>6</v>
      </c>
      <c r="J12" s="134">
        <v>1</v>
      </c>
      <c r="K12" s="134"/>
      <c r="L12" s="133" t="str">
        <f t="shared" si="0"/>
        <v>sg:0;time:10;char:6;num:1,</v>
      </c>
      <c r="M12" s="39"/>
    </row>
    <row r="13" customHeight="1" spans="1:13">
      <c r="A13" s="115"/>
      <c r="B13" s="120"/>
      <c r="C13" s="120"/>
      <c r="D13" s="119"/>
      <c r="E13" s="4">
        <v>2</v>
      </c>
      <c r="F13" s="4">
        <v>8</v>
      </c>
      <c r="G13" s="4">
        <v>500</v>
      </c>
      <c r="H13" s="4"/>
      <c r="I13" s="131">
        <v>8</v>
      </c>
      <c r="J13" s="131">
        <v>2</v>
      </c>
      <c r="K13" s="131"/>
      <c r="L13" s="133" t="str">
        <f t="shared" si="0"/>
        <v>sg:500;time:8;char:8;num:2,</v>
      </c>
      <c r="M13" s="39"/>
    </row>
    <row r="14" customHeight="1" spans="1:13">
      <c r="A14" s="115"/>
      <c r="B14" s="121"/>
      <c r="C14" s="121"/>
      <c r="D14" s="122"/>
      <c r="E14" s="123">
        <v>3</v>
      </c>
      <c r="F14" s="123">
        <v>6</v>
      </c>
      <c r="G14" s="123">
        <v>1500</v>
      </c>
      <c r="H14" s="123"/>
      <c r="I14" s="135">
        <v>10</v>
      </c>
      <c r="J14" s="135">
        <v>3</v>
      </c>
      <c r="K14" s="135"/>
      <c r="L14" s="136" t="str">
        <f t="shared" si="0"/>
        <v>sg:1500;time:6;char:10;num:3,</v>
      </c>
      <c r="M14" s="39"/>
    </row>
    <row r="15" customHeight="1" spans="1:9">
      <c r="A15" s="115"/>
      <c r="B15" s="39"/>
      <c r="D15" s="39"/>
      <c r="E15" s="39"/>
      <c r="F15" s="39"/>
      <c r="G15" s="39"/>
      <c r="H15" s="39"/>
      <c r="I15" s="39"/>
    </row>
    <row r="16" customHeight="1" spans="1:9">
      <c r="A16" s="113" t="s">
        <v>441</v>
      </c>
      <c r="B16" s="114"/>
      <c r="D16" s="39"/>
      <c r="E16" s="39"/>
      <c r="F16" s="39" t="s">
        <v>425</v>
      </c>
      <c r="G16" s="39"/>
      <c r="H16" s="39" t="s">
        <v>442</v>
      </c>
      <c r="I16" s="39"/>
    </row>
    <row r="17" customHeight="1" spans="1:13">
      <c r="A17" s="115"/>
      <c r="B17" s="116" t="s">
        <v>428</v>
      </c>
      <c r="C17" s="117" t="s">
        <v>85</v>
      </c>
      <c r="D17" s="117" t="s">
        <v>443</v>
      </c>
      <c r="E17" s="117" t="s">
        <v>430</v>
      </c>
      <c r="F17" s="117" t="s">
        <v>432</v>
      </c>
      <c r="G17" s="117"/>
      <c r="H17" s="117" t="s">
        <v>444</v>
      </c>
      <c r="I17" s="117"/>
      <c r="J17" s="130" t="s">
        <v>435</v>
      </c>
      <c r="K17" s="130"/>
      <c r="M17" s="130" t="s">
        <v>436</v>
      </c>
    </row>
    <row r="18" customHeight="1" spans="1:13">
      <c r="A18" s="115"/>
      <c r="B18" s="118">
        <v>1</v>
      </c>
      <c r="C18" s="118">
        <v>1000</v>
      </c>
      <c r="D18" s="6" t="s">
        <v>445</v>
      </c>
      <c r="E18" s="7">
        <v>1</v>
      </c>
      <c r="F18" s="7">
        <v>0</v>
      </c>
      <c r="G18" s="7"/>
      <c r="H18" s="7">
        <v>2</v>
      </c>
      <c r="I18" s="134"/>
      <c r="J18" s="137" t="str">
        <f>$F$16&amp;F18&amp;";"&amp;$H$16&amp;H18&amp;","</f>
        <v>sg:0;sp:2,</v>
      </c>
      <c r="K18" s="138"/>
      <c r="M18" s="39">
        <f>SUM(F18:F35)</f>
        <v>9000</v>
      </c>
    </row>
    <row r="19" customHeight="1" spans="1:13">
      <c r="A19" s="115"/>
      <c r="B19" s="120"/>
      <c r="C19" s="120"/>
      <c r="D19" s="119"/>
      <c r="E19" s="124">
        <v>2</v>
      </c>
      <c r="F19" s="124">
        <v>500</v>
      </c>
      <c r="G19" s="124"/>
      <c r="H19" s="4">
        <v>3</v>
      </c>
      <c r="I19" s="131"/>
      <c r="J19" s="139" t="str">
        <f t="shared" ref="J19:J35" si="1">$F$16&amp;F19&amp;";"&amp;$H$16&amp;H19&amp;","</f>
        <v>sg:500;sp:3,</v>
      </c>
      <c r="K19" s="140"/>
      <c r="M19" s="39"/>
    </row>
    <row r="20" customHeight="1" spans="1:13">
      <c r="A20" s="115"/>
      <c r="B20" s="121"/>
      <c r="C20" s="121"/>
      <c r="D20" s="122"/>
      <c r="E20" s="123">
        <v>3</v>
      </c>
      <c r="F20" s="123">
        <v>1000</v>
      </c>
      <c r="G20" s="123"/>
      <c r="H20" s="123">
        <v>4</v>
      </c>
      <c r="I20" s="135"/>
      <c r="J20" s="139" t="str">
        <f t="shared" si="1"/>
        <v>sg:1000;sp:4,</v>
      </c>
      <c r="K20" s="140"/>
      <c r="M20" s="39"/>
    </row>
    <row r="21" customHeight="1" spans="1:13">
      <c r="A21" s="115"/>
      <c r="B21" s="118">
        <v>1</v>
      </c>
      <c r="C21" s="118">
        <v>1003</v>
      </c>
      <c r="D21" s="6" t="s">
        <v>446</v>
      </c>
      <c r="E21" s="7">
        <v>1</v>
      </c>
      <c r="F21" s="7">
        <v>0</v>
      </c>
      <c r="G21" s="7"/>
      <c r="H21" s="7">
        <v>2</v>
      </c>
      <c r="I21" s="134"/>
      <c r="J21" s="139" t="str">
        <f t="shared" si="1"/>
        <v>sg:0;sp:2,</v>
      </c>
      <c r="K21" s="140"/>
      <c r="M21" s="39"/>
    </row>
    <row r="22" customHeight="1" spans="1:13">
      <c r="A22" s="115"/>
      <c r="B22" s="120"/>
      <c r="C22" s="120"/>
      <c r="D22" s="119"/>
      <c r="E22" s="124">
        <v>2</v>
      </c>
      <c r="F22" s="124">
        <v>500</v>
      </c>
      <c r="G22" s="124"/>
      <c r="H22" s="4">
        <v>3</v>
      </c>
      <c r="I22" s="131"/>
      <c r="J22" s="139" t="str">
        <f t="shared" si="1"/>
        <v>sg:500;sp:3,</v>
      </c>
      <c r="K22" s="140"/>
      <c r="M22" s="39"/>
    </row>
    <row r="23" customHeight="1" spans="1:13">
      <c r="A23" s="115"/>
      <c r="B23" s="121"/>
      <c r="C23" s="121"/>
      <c r="D23" s="122"/>
      <c r="E23" s="123">
        <v>3</v>
      </c>
      <c r="F23" s="123">
        <v>1000</v>
      </c>
      <c r="G23" s="123"/>
      <c r="H23" s="123">
        <v>4</v>
      </c>
      <c r="I23" s="135"/>
      <c r="J23" s="139" t="str">
        <f t="shared" si="1"/>
        <v>sg:1000;sp:4,</v>
      </c>
      <c r="K23" s="140"/>
      <c r="M23" s="39"/>
    </row>
    <row r="24" customHeight="1" spans="1:13">
      <c r="A24" s="115"/>
      <c r="B24" s="118">
        <v>1</v>
      </c>
      <c r="C24" s="118">
        <v>1005</v>
      </c>
      <c r="D24" s="6" t="s">
        <v>447</v>
      </c>
      <c r="E24" s="7">
        <v>1</v>
      </c>
      <c r="F24" s="7">
        <v>0</v>
      </c>
      <c r="G24" s="7"/>
      <c r="H24" s="7">
        <v>2</v>
      </c>
      <c r="I24" s="134"/>
      <c r="J24" s="139" t="str">
        <f t="shared" si="1"/>
        <v>sg:0;sp:2,</v>
      </c>
      <c r="K24" s="140"/>
      <c r="M24" s="39"/>
    </row>
    <row r="25" customHeight="1" spans="1:13">
      <c r="A25" s="115"/>
      <c r="B25" s="120"/>
      <c r="C25" s="120"/>
      <c r="D25" s="119"/>
      <c r="E25" s="124">
        <v>2</v>
      </c>
      <c r="F25" s="124">
        <v>500</v>
      </c>
      <c r="G25" s="124"/>
      <c r="H25" s="4">
        <v>3</v>
      </c>
      <c r="I25" s="131"/>
      <c r="J25" s="139" t="str">
        <f t="shared" si="1"/>
        <v>sg:500;sp:3,</v>
      </c>
      <c r="K25" s="140"/>
      <c r="M25" s="39"/>
    </row>
    <row r="26" customHeight="1" spans="1:13">
      <c r="A26" s="115"/>
      <c r="B26" s="121"/>
      <c r="C26" s="121"/>
      <c r="D26" s="122"/>
      <c r="E26" s="123">
        <v>3</v>
      </c>
      <c r="F26" s="123">
        <v>1000</v>
      </c>
      <c r="G26" s="123"/>
      <c r="H26" s="123">
        <v>4</v>
      </c>
      <c r="I26" s="135"/>
      <c r="J26" s="139" t="str">
        <f t="shared" si="1"/>
        <v>sg:1000;sp:4,</v>
      </c>
      <c r="K26" s="140"/>
      <c r="M26" s="39"/>
    </row>
    <row r="27" customHeight="1" spans="1:13">
      <c r="A27" s="115"/>
      <c r="B27" s="118">
        <v>7</v>
      </c>
      <c r="C27" s="118">
        <v>1002</v>
      </c>
      <c r="D27" s="6" t="s">
        <v>448</v>
      </c>
      <c r="E27" s="7">
        <v>1</v>
      </c>
      <c r="F27" s="7">
        <v>0</v>
      </c>
      <c r="G27" s="7"/>
      <c r="H27" s="7">
        <v>2</v>
      </c>
      <c r="I27" s="134"/>
      <c r="J27" s="139" t="str">
        <f t="shared" si="1"/>
        <v>sg:0;sp:2,</v>
      </c>
      <c r="K27" s="140"/>
      <c r="M27" s="39"/>
    </row>
    <row r="28" customHeight="1" spans="1:13">
      <c r="A28" s="115"/>
      <c r="B28" s="120"/>
      <c r="C28" s="120"/>
      <c r="D28" s="119"/>
      <c r="E28" s="124">
        <v>2</v>
      </c>
      <c r="F28" s="124">
        <v>500</v>
      </c>
      <c r="G28" s="124"/>
      <c r="H28" s="4">
        <v>3</v>
      </c>
      <c r="I28" s="131"/>
      <c r="J28" s="139" t="str">
        <f t="shared" si="1"/>
        <v>sg:500;sp:3,</v>
      </c>
      <c r="K28" s="140"/>
      <c r="M28" s="39"/>
    </row>
    <row r="29" customHeight="1" spans="1:13">
      <c r="A29" s="115"/>
      <c r="B29" s="121"/>
      <c r="C29" s="121"/>
      <c r="D29" s="122"/>
      <c r="E29" s="123">
        <v>3</v>
      </c>
      <c r="F29" s="123">
        <v>1000</v>
      </c>
      <c r="G29" s="123"/>
      <c r="H29" s="123">
        <v>4</v>
      </c>
      <c r="I29" s="135"/>
      <c r="J29" s="139" t="str">
        <f t="shared" si="1"/>
        <v>sg:1000;sp:4,</v>
      </c>
      <c r="K29" s="140"/>
      <c r="M29" s="39"/>
    </row>
    <row r="30" customHeight="1" spans="1:13">
      <c r="A30" s="115"/>
      <c r="B30" s="118">
        <v>10</v>
      </c>
      <c r="C30" s="118">
        <v>1004</v>
      </c>
      <c r="D30" s="6" t="s">
        <v>449</v>
      </c>
      <c r="E30" s="7">
        <v>1</v>
      </c>
      <c r="F30" s="7">
        <v>0</v>
      </c>
      <c r="G30" s="7"/>
      <c r="H30" s="7">
        <v>2</v>
      </c>
      <c r="I30" s="134"/>
      <c r="J30" s="139" t="str">
        <f t="shared" si="1"/>
        <v>sg:0;sp:2,</v>
      </c>
      <c r="K30" s="140"/>
      <c r="M30" s="39"/>
    </row>
    <row r="31" customHeight="1" spans="1:13">
      <c r="A31" s="115"/>
      <c r="B31" s="120"/>
      <c r="C31" s="120"/>
      <c r="D31" s="119"/>
      <c r="E31" s="124">
        <v>2</v>
      </c>
      <c r="F31" s="124">
        <v>500</v>
      </c>
      <c r="G31" s="124"/>
      <c r="H31" s="4">
        <v>3</v>
      </c>
      <c r="I31" s="131"/>
      <c r="J31" s="139" t="str">
        <f t="shared" si="1"/>
        <v>sg:500;sp:3,</v>
      </c>
      <c r="K31" s="140"/>
      <c r="M31" s="39"/>
    </row>
    <row r="32" customHeight="1" spans="1:13">
      <c r="A32" s="115"/>
      <c r="B32" s="121"/>
      <c r="C32" s="121"/>
      <c r="D32" s="122"/>
      <c r="E32" s="123">
        <v>3</v>
      </c>
      <c r="F32" s="123">
        <v>1000</v>
      </c>
      <c r="G32" s="123"/>
      <c r="H32" s="123">
        <v>4</v>
      </c>
      <c r="I32" s="135"/>
      <c r="J32" s="139" t="str">
        <f t="shared" si="1"/>
        <v>sg:1000;sp:4,</v>
      </c>
      <c r="K32" s="140"/>
      <c r="M32" s="39"/>
    </row>
    <row r="33" customHeight="1" spans="1:13">
      <c r="A33" s="115"/>
      <c r="B33" s="118">
        <v>13</v>
      </c>
      <c r="C33" s="118">
        <v>1001</v>
      </c>
      <c r="D33" s="6" t="s">
        <v>450</v>
      </c>
      <c r="E33" s="7">
        <v>1</v>
      </c>
      <c r="F33" s="7">
        <v>0</v>
      </c>
      <c r="G33" s="7"/>
      <c r="H33" s="7">
        <v>2</v>
      </c>
      <c r="I33" s="134"/>
      <c r="J33" s="139" t="str">
        <f t="shared" si="1"/>
        <v>sg:0;sp:2,</v>
      </c>
      <c r="K33" s="140"/>
      <c r="M33" s="39"/>
    </row>
    <row r="34" customHeight="1" spans="1:13">
      <c r="A34" s="115"/>
      <c r="B34" s="120"/>
      <c r="C34" s="120"/>
      <c r="D34" s="119"/>
      <c r="E34" s="124">
        <v>2</v>
      </c>
      <c r="F34" s="124">
        <v>500</v>
      </c>
      <c r="G34" s="124"/>
      <c r="H34" s="4">
        <v>3</v>
      </c>
      <c r="I34" s="131"/>
      <c r="J34" s="139" t="str">
        <f t="shared" si="1"/>
        <v>sg:500;sp:3,</v>
      </c>
      <c r="K34" s="140"/>
      <c r="M34" s="39"/>
    </row>
    <row r="35" customHeight="1" spans="1:13">
      <c r="A35" s="115"/>
      <c r="B35" s="121"/>
      <c r="C35" s="121"/>
      <c r="D35" s="122"/>
      <c r="E35" s="123">
        <v>3</v>
      </c>
      <c r="F35" s="123">
        <v>1000</v>
      </c>
      <c r="G35" s="123"/>
      <c r="H35" s="123">
        <v>4</v>
      </c>
      <c r="I35" s="135"/>
      <c r="J35" s="141" t="str">
        <f t="shared" si="1"/>
        <v>sg:1000;sp:4,</v>
      </c>
      <c r="K35" s="142"/>
      <c r="M35" s="39"/>
    </row>
    <row r="37" customHeight="1" spans="1:6">
      <c r="A37" s="113" t="s">
        <v>451</v>
      </c>
      <c r="B37" s="114"/>
      <c r="C37" s="39" t="s">
        <v>452</v>
      </c>
      <c r="E37" t="s">
        <v>453</v>
      </c>
      <c r="F37" t="s">
        <v>427</v>
      </c>
    </row>
    <row r="38" customHeight="1" spans="2:10">
      <c r="B38" s="116" t="s">
        <v>428</v>
      </c>
      <c r="C38" s="117" t="s">
        <v>85</v>
      </c>
      <c r="D38" s="117" t="s">
        <v>454</v>
      </c>
      <c r="E38" s="117" t="s">
        <v>455</v>
      </c>
      <c r="F38" s="117" t="s">
        <v>456</v>
      </c>
      <c r="G38" s="125" t="s">
        <v>435</v>
      </c>
      <c r="H38" s="126"/>
      <c r="I38" s="126"/>
      <c r="J38" s="143"/>
    </row>
    <row r="39" customHeight="1" spans="2:10">
      <c r="B39" s="127"/>
      <c r="C39" s="48">
        <v>10001</v>
      </c>
      <c r="D39" s="128" t="s">
        <v>138</v>
      </c>
      <c r="E39" s="129">
        <v>100</v>
      </c>
      <c r="F39" s="129">
        <v>3</v>
      </c>
      <c r="G39" s="48" t="str">
        <f>$E$37&amp;E39&amp;";"&amp;$C$37&amp;C39&amp;";"&amp;$F$37&amp;F39&amp;","</f>
        <v>diamond:100;propid:10001;num:3,</v>
      </c>
      <c r="H39" s="48"/>
      <c r="I39" s="48"/>
      <c r="J39" s="49"/>
    </row>
    <row r="40" customHeight="1" spans="2:10">
      <c r="B40" s="127"/>
      <c r="C40" s="48">
        <v>10002</v>
      </c>
      <c r="D40" s="128" t="s">
        <v>142</v>
      </c>
      <c r="E40" s="129">
        <v>50</v>
      </c>
      <c r="F40" s="129">
        <v>3</v>
      </c>
      <c r="G40" s="48" t="str">
        <f t="shared" ref="G40:G45" si="2">$E$37&amp;E40&amp;";"&amp;$C$37&amp;C40&amp;";"&amp;$F$37&amp;F40&amp;","</f>
        <v>diamond:50;propid:10002;num:3,</v>
      </c>
      <c r="H40" s="48"/>
      <c r="I40" s="48"/>
      <c r="J40" s="49"/>
    </row>
    <row r="41" customHeight="1" spans="2:10">
      <c r="B41" s="127"/>
      <c r="C41" s="48">
        <v>10003</v>
      </c>
      <c r="D41" s="128" t="s">
        <v>147</v>
      </c>
      <c r="E41" s="129">
        <v>38</v>
      </c>
      <c r="F41" s="129">
        <v>3</v>
      </c>
      <c r="G41" s="48" t="str">
        <f t="shared" si="2"/>
        <v>diamond:38;propid:10003;num:3,</v>
      </c>
      <c r="H41" s="48"/>
      <c r="I41" s="48"/>
      <c r="J41" s="49"/>
    </row>
    <row r="42" customHeight="1" spans="2:10">
      <c r="B42" s="127"/>
      <c r="C42" s="48">
        <v>10004</v>
      </c>
      <c r="D42" s="128" t="s">
        <v>151</v>
      </c>
      <c r="E42" s="129">
        <v>50</v>
      </c>
      <c r="F42" s="129">
        <v>3</v>
      </c>
      <c r="G42" s="48" t="str">
        <f t="shared" si="2"/>
        <v>diamond:50;propid:10004;num:3,</v>
      </c>
      <c r="H42" s="48"/>
      <c r="I42" s="48"/>
      <c r="J42" s="49"/>
    </row>
    <row r="43" customHeight="1" spans="2:10">
      <c r="B43" s="127"/>
      <c r="C43" s="48">
        <v>10005</v>
      </c>
      <c r="D43" s="128" t="s">
        <v>155</v>
      </c>
      <c r="E43" s="129">
        <v>50</v>
      </c>
      <c r="F43" s="129">
        <v>3</v>
      </c>
      <c r="G43" s="48" t="str">
        <f t="shared" si="2"/>
        <v>diamond:50;propid:10005;num:3,</v>
      </c>
      <c r="H43" s="48"/>
      <c r="I43" s="48"/>
      <c r="J43" s="49"/>
    </row>
    <row r="44" customHeight="1" spans="2:10">
      <c r="B44" s="127"/>
      <c r="C44" s="48">
        <v>10006</v>
      </c>
      <c r="D44" s="128" t="s">
        <v>160</v>
      </c>
      <c r="E44" s="129">
        <v>100</v>
      </c>
      <c r="F44" s="129">
        <v>3</v>
      </c>
      <c r="G44" s="48" t="str">
        <f t="shared" si="2"/>
        <v>diamond:100;propid:10006;num:3,</v>
      </c>
      <c r="H44" s="48"/>
      <c r="I44" s="48"/>
      <c r="J44" s="49"/>
    </row>
    <row r="45" customHeight="1" spans="2:10">
      <c r="B45" s="127"/>
      <c r="C45" s="48">
        <v>10007</v>
      </c>
      <c r="D45" s="128" t="s">
        <v>165</v>
      </c>
      <c r="E45" s="129">
        <v>38</v>
      </c>
      <c r="F45" s="129">
        <v>3</v>
      </c>
      <c r="G45" s="48" t="str">
        <f t="shared" si="2"/>
        <v>diamond:38;propid:10007;num:3,</v>
      </c>
      <c r="H45" s="48"/>
      <c r="I45" s="48"/>
      <c r="J45" s="49"/>
    </row>
  </sheetData>
  <mergeCells count="62">
    <mergeCell ref="A1:B1"/>
    <mergeCell ref="A16:B16"/>
    <mergeCell ref="J17:K17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J29:K29"/>
    <mergeCell ref="J30:K30"/>
    <mergeCell ref="J31:K31"/>
    <mergeCell ref="J32:K32"/>
    <mergeCell ref="J33:K33"/>
    <mergeCell ref="J34:K34"/>
    <mergeCell ref="J35:K35"/>
    <mergeCell ref="A37:B37"/>
    <mergeCell ref="G38:J38"/>
    <mergeCell ref="G39:J39"/>
    <mergeCell ref="G40:J40"/>
    <mergeCell ref="G41:J41"/>
    <mergeCell ref="G42:J42"/>
    <mergeCell ref="G43:J43"/>
    <mergeCell ref="G44:J44"/>
    <mergeCell ref="G45:J45"/>
    <mergeCell ref="B3:B5"/>
    <mergeCell ref="B6:B8"/>
    <mergeCell ref="B9:B11"/>
    <mergeCell ref="B12:B14"/>
    <mergeCell ref="B18:B20"/>
    <mergeCell ref="B21:B23"/>
    <mergeCell ref="B24:B26"/>
    <mergeCell ref="B27:B29"/>
    <mergeCell ref="B30:B32"/>
    <mergeCell ref="B33:B35"/>
    <mergeCell ref="C3:C5"/>
    <mergeCell ref="C6:C8"/>
    <mergeCell ref="C9:C11"/>
    <mergeCell ref="C12:C14"/>
    <mergeCell ref="C18:C20"/>
    <mergeCell ref="C21:C23"/>
    <mergeCell ref="C24:C26"/>
    <mergeCell ref="C27:C29"/>
    <mergeCell ref="C30:C32"/>
    <mergeCell ref="C33:C35"/>
    <mergeCell ref="D3:D5"/>
    <mergeCell ref="D6:D8"/>
    <mergeCell ref="D9:D11"/>
    <mergeCell ref="D12:D14"/>
    <mergeCell ref="D18:D20"/>
    <mergeCell ref="D21:D23"/>
    <mergeCell ref="D24:D26"/>
    <mergeCell ref="D27:D29"/>
    <mergeCell ref="D30:D32"/>
    <mergeCell ref="D33:D35"/>
    <mergeCell ref="M3:M14"/>
    <mergeCell ref="M18:M35"/>
  </mergeCells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>
    <tabColor theme="5"/>
  </sheetPr>
  <dimension ref="A1:CX59"/>
  <sheetViews>
    <sheetView tabSelected="1" topLeftCell="B1" workbookViewId="0">
      <selection activeCell="S5" sqref="S5"/>
    </sheetView>
  </sheetViews>
  <sheetFormatPr defaultColWidth="9" defaultRowHeight="14.25"/>
  <cols>
    <col min="1" max="1" width="8" customWidth="1"/>
    <col min="2" max="2" width="13.0333333333333" customWidth="1"/>
    <col min="3" max="3" width="25.125" hidden="1" customWidth="1"/>
    <col min="4" max="4" width="17.7333333333333" hidden="1" customWidth="1"/>
    <col min="5" max="5" width="11.5583333333333" hidden="1" customWidth="1"/>
    <col min="6" max="6" width="12.3583333333333" style="50" hidden="1" customWidth="1"/>
    <col min="7" max="7" width="7.39166666666667" style="51" hidden="1" customWidth="1"/>
    <col min="8" max="8" width="4.70833333333333" style="52" hidden="1" customWidth="1"/>
    <col min="9" max="9" width="3.125" customWidth="1"/>
    <col min="10" max="10" width="11.125" customWidth="1"/>
    <col min="11" max="11" width="6.625" customWidth="1"/>
    <col min="12" max="17" width="4.625" customWidth="1"/>
    <col min="18" max="18" width="0.75" style="5" customWidth="1"/>
    <col min="19" max="22" width="2.625" customWidth="1"/>
    <col min="23" max="23" width="1" customWidth="1"/>
    <col min="24" max="29" width="2.625" customWidth="1"/>
    <col min="30" max="35" width="4.625" customWidth="1"/>
    <col min="36" max="42" width="5.25833333333333" customWidth="1"/>
    <col min="43" max="48" width="5.625" customWidth="1"/>
    <col min="49" max="49" width="11.0166666666667" style="52" customWidth="1"/>
    <col min="50" max="51" width="4.825" customWidth="1"/>
    <col min="52" max="52" width="2.375" customWidth="1"/>
    <col min="53" max="53" width="9.875" customWidth="1"/>
    <col min="54" max="54" width="20.9583333333333" hidden="1" customWidth="1"/>
    <col min="55" max="55" width="25.8083333333333" hidden="1" customWidth="1"/>
    <col min="56" max="56" width="28.625" hidden="1" customWidth="1"/>
    <col min="57" max="57" width="29.1666666666667" style="50" hidden="1" customWidth="1"/>
    <col min="58" max="58" width="3.9" hidden="1" customWidth="1"/>
    <col min="59" max="59" width="4.43333333333333" hidden="1" customWidth="1"/>
    <col min="60" max="60" width="2.375" customWidth="1"/>
    <col min="61" max="61" width="11.375" customWidth="1"/>
    <col min="62" max="62" width="5.625" customWidth="1"/>
    <col min="63" max="68" width="4.625" customWidth="1"/>
    <col min="69" max="69" width="0.75" style="5" customWidth="1"/>
    <col min="70" max="73" width="2.625" customWidth="1"/>
    <col min="74" max="74" width="1.125" customWidth="1"/>
    <col min="75" max="80" width="2.625" customWidth="1"/>
    <col min="81" max="86" width="4.625" customWidth="1"/>
    <col min="87" max="93" width="5.25833333333333" customWidth="1"/>
    <col min="94" max="94" width="6" customWidth="1"/>
    <col min="95" max="97" width="3.875" customWidth="1"/>
    <col min="98" max="98" width="6.25" customWidth="1"/>
    <col min="99" max="99" width="3.875" customWidth="1"/>
    <col min="100" max="100" width="9.8" style="53" customWidth="1"/>
    <col min="101" max="101" width="3.875" customWidth="1"/>
    <col min="102" max="102" width="6.85" customWidth="1"/>
  </cols>
  <sheetData>
    <row r="1" ht="28.5" spans="1:50">
      <c r="A1" s="54" t="s">
        <v>457</v>
      </c>
      <c r="B1" s="55"/>
      <c r="C1" s="55"/>
      <c r="D1" s="55"/>
      <c r="E1" s="55"/>
      <c r="F1" s="56"/>
      <c r="L1" t="s">
        <v>458</v>
      </c>
      <c r="AD1" s="87" t="s">
        <v>459</v>
      </c>
      <c r="AE1" s="87" t="s">
        <v>460</v>
      </c>
      <c r="AF1" s="87" t="s">
        <v>461</v>
      </c>
      <c r="AG1" s="87"/>
      <c r="AQ1" s="50" t="s">
        <v>462</v>
      </c>
      <c r="AR1" s="50" t="s">
        <v>463</v>
      </c>
      <c r="AS1" s="50"/>
      <c r="AT1" s="50" t="s">
        <v>464</v>
      </c>
      <c r="AX1" s="99" t="s">
        <v>465</v>
      </c>
    </row>
    <row r="2" ht="30" customHeight="1" spans="1:97">
      <c r="A2" s="57"/>
      <c r="B2" s="55"/>
      <c r="C2" s="55"/>
      <c r="D2" s="55"/>
      <c r="E2" s="55"/>
      <c r="F2" s="56"/>
      <c r="S2" s="82" t="s">
        <v>466</v>
      </c>
      <c r="T2" s="82" t="s">
        <v>467</v>
      </c>
      <c r="U2" s="82" t="s">
        <v>468</v>
      </c>
      <c r="V2" s="82" t="s">
        <v>469</v>
      </c>
      <c r="W2" s="82"/>
      <c r="X2" s="82" t="s">
        <v>470</v>
      </c>
      <c r="Y2" s="82" t="s">
        <v>471</v>
      </c>
      <c r="Z2" s="82" t="s">
        <v>472</v>
      </c>
      <c r="AA2" s="82" t="s">
        <v>473</v>
      </c>
      <c r="AB2" s="82" t="s">
        <v>474</v>
      </c>
      <c r="AC2" s="88" t="s">
        <v>475</v>
      </c>
      <c r="AD2" s="87">
        <v>1</v>
      </c>
      <c r="AE2" s="87">
        <v>40</v>
      </c>
      <c r="AF2" s="87">
        <f>AD2*60+AE2</f>
        <v>100</v>
      </c>
      <c r="AG2" s="87"/>
      <c r="AL2" s="69" t="s">
        <v>476</v>
      </c>
      <c r="AM2" s="69"/>
      <c r="AN2" s="69"/>
      <c r="AO2" s="69"/>
      <c r="AP2" s="69"/>
      <c r="AQ2" s="69" t="s">
        <v>477</v>
      </c>
      <c r="AR2" s="69"/>
      <c r="AS2" s="69"/>
      <c r="AT2" s="69"/>
      <c r="AU2" s="93"/>
      <c r="AV2" s="93"/>
      <c r="AW2" s="100"/>
      <c r="AX2" s="99"/>
      <c r="CK2" s="69" t="s">
        <v>476</v>
      </c>
      <c r="CL2" s="69"/>
      <c r="CM2" s="69"/>
      <c r="CN2" s="69"/>
      <c r="CO2" s="69"/>
      <c r="CP2" s="69" t="s">
        <v>477</v>
      </c>
      <c r="CQ2" s="69"/>
      <c r="CR2" s="69"/>
      <c r="CS2" s="69"/>
    </row>
    <row r="3" ht="15" spans="2:102">
      <c r="B3" s="58" t="s">
        <v>478</v>
      </c>
      <c r="C3" s="58"/>
      <c r="D3" s="59" t="s">
        <v>479</v>
      </c>
      <c r="E3" s="59" t="s">
        <v>480</v>
      </c>
      <c r="F3" s="59" t="s">
        <v>481</v>
      </c>
      <c r="G3" s="59" t="s">
        <v>169</v>
      </c>
      <c r="H3" s="60" t="s">
        <v>482</v>
      </c>
      <c r="I3" s="58" t="s">
        <v>483</v>
      </c>
      <c r="J3" s="58"/>
      <c r="K3" s="69" t="s">
        <v>1</v>
      </c>
      <c r="L3" s="69" t="s">
        <v>484</v>
      </c>
      <c r="M3" s="70" t="s">
        <v>485</v>
      </c>
      <c r="N3" s="69" t="s">
        <v>486</v>
      </c>
      <c r="O3" s="69" t="s">
        <v>487</v>
      </c>
      <c r="P3" s="69" t="s">
        <v>488</v>
      </c>
      <c r="Q3" s="69" t="s">
        <v>489</v>
      </c>
      <c r="R3" s="83"/>
      <c r="S3" s="69" t="s">
        <v>490</v>
      </c>
      <c r="T3" s="69"/>
      <c r="U3" s="69"/>
      <c r="V3" s="69"/>
      <c r="W3" s="69"/>
      <c r="X3" s="69"/>
      <c r="Y3" s="69"/>
      <c r="Z3" s="69"/>
      <c r="AA3" s="69"/>
      <c r="AB3" s="69"/>
      <c r="AC3" s="69"/>
      <c r="AD3" s="82" t="s">
        <v>491</v>
      </c>
      <c r="AE3" s="82" t="s">
        <v>492</v>
      </c>
      <c r="AF3" s="82" t="s">
        <v>493</v>
      </c>
      <c r="AG3" s="82" t="s">
        <v>494</v>
      </c>
      <c r="AH3" s="82" t="s">
        <v>495</v>
      </c>
      <c r="AI3" s="82" t="s">
        <v>496</v>
      </c>
      <c r="AJ3" s="90" t="s">
        <v>497</v>
      </c>
      <c r="AK3" s="91"/>
      <c r="AL3" s="69"/>
      <c r="AM3" s="69"/>
      <c r="AN3" s="69"/>
      <c r="AO3" s="69"/>
      <c r="AP3" s="69"/>
      <c r="AQ3" s="69"/>
      <c r="AR3" s="69"/>
      <c r="AS3" s="69"/>
      <c r="AT3" s="69"/>
      <c r="AU3" s="94"/>
      <c r="AV3" s="94"/>
      <c r="AW3" s="101"/>
      <c r="AX3" s="99"/>
      <c r="AY3" s="102"/>
      <c r="BA3" s="58" t="s">
        <v>478</v>
      </c>
      <c r="BB3" s="58"/>
      <c r="BC3" s="59" t="s">
        <v>479</v>
      </c>
      <c r="BD3" s="59" t="s">
        <v>480</v>
      </c>
      <c r="BE3" s="59" t="s">
        <v>481</v>
      </c>
      <c r="BF3" s="59" t="s">
        <v>169</v>
      </c>
      <c r="BG3" s="60" t="s">
        <v>482</v>
      </c>
      <c r="BH3" s="58" t="s">
        <v>483</v>
      </c>
      <c r="BI3" s="58"/>
      <c r="BJ3" s="69" t="s">
        <v>1</v>
      </c>
      <c r="BK3" s="69" t="s">
        <v>484</v>
      </c>
      <c r="BL3" s="70" t="s">
        <v>485</v>
      </c>
      <c r="BM3" s="69" t="s">
        <v>486</v>
      </c>
      <c r="BN3" s="69" t="s">
        <v>487</v>
      </c>
      <c r="BO3" s="69" t="s">
        <v>488</v>
      </c>
      <c r="BP3" s="69" t="s">
        <v>489</v>
      </c>
      <c r="BQ3" s="83"/>
      <c r="BR3" s="69" t="s">
        <v>490</v>
      </c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82" t="s">
        <v>491</v>
      </c>
      <c r="CD3" s="82" t="s">
        <v>492</v>
      </c>
      <c r="CE3" s="82" t="s">
        <v>493</v>
      </c>
      <c r="CF3" s="82" t="s">
        <v>494</v>
      </c>
      <c r="CG3" s="82" t="s">
        <v>495</v>
      </c>
      <c r="CH3" s="82" t="s">
        <v>496</v>
      </c>
      <c r="CI3" s="90" t="s">
        <v>497</v>
      </c>
      <c r="CJ3" s="92"/>
      <c r="CK3" s="69"/>
      <c r="CL3" s="69"/>
      <c r="CM3" s="69"/>
      <c r="CN3" s="69"/>
      <c r="CO3" s="69"/>
      <c r="CP3" s="69"/>
      <c r="CQ3" s="69"/>
      <c r="CR3" s="69"/>
      <c r="CS3" s="69"/>
      <c r="CT3" s="92"/>
      <c r="CU3" s="92"/>
      <c r="CV3" s="110"/>
      <c r="CW3" s="82"/>
      <c r="CX3" s="82"/>
    </row>
    <row r="4" ht="53" customHeight="1" spans="2:102">
      <c r="B4" s="58"/>
      <c r="C4" s="58"/>
      <c r="D4" s="59"/>
      <c r="E4" s="59"/>
      <c r="F4" s="59"/>
      <c r="G4" s="59"/>
      <c r="H4" s="60"/>
      <c r="I4" s="58"/>
      <c r="J4" s="58"/>
      <c r="K4" s="69"/>
      <c r="L4" s="69"/>
      <c r="M4" s="71" t="s">
        <v>498</v>
      </c>
      <c r="N4" s="72" t="s">
        <v>499</v>
      </c>
      <c r="O4" s="73" t="s">
        <v>500</v>
      </c>
      <c r="P4" s="73" t="s">
        <v>501</v>
      </c>
      <c r="Q4" s="73" t="s">
        <v>502</v>
      </c>
      <c r="R4" s="84"/>
      <c r="S4" s="85" t="s">
        <v>503</v>
      </c>
      <c r="T4" s="85" t="s">
        <v>439</v>
      </c>
      <c r="U4" s="85" t="s">
        <v>437</v>
      </c>
      <c r="V4" s="85" t="s">
        <v>440</v>
      </c>
      <c r="W4" s="86"/>
      <c r="X4" s="86" t="s">
        <v>445</v>
      </c>
      <c r="Y4" s="86" t="s">
        <v>446</v>
      </c>
      <c r="Z4" s="86" t="s">
        <v>447</v>
      </c>
      <c r="AA4" s="86" t="s">
        <v>448</v>
      </c>
      <c r="AB4" s="86" t="s">
        <v>449</v>
      </c>
      <c r="AC4" s="86" t="s">
        <v>450</v>
      </c>
      <c r="AD4" s="82"/>
      <c r="AE4" s="82"/>
      <c r="AF4" s="82"/>
      <c r="AG4" s="82"/>
      <c r="AH4" s="82"/>
      <c r="AI4" s="82"/>
      <c r="AJ4" s="82" t="s">
        <v>504</v>
      </c>
      <c r="AK4" s="82" t="s">
        <v>505</v>
      </c>
      <c r="AL4" s="82" t="s">
        <v>506</v>
      </c>
      <c r="AM4" s="82" t="s">
        <v>507</v>
      </c>
      <c r="AN4" s="82" t="s">
        <v>508</v>
      </c>
      <c r="AO4" s="82" t="s">
        <v>509</v>
      </c>
      <c r="AP4" s="82" t="s">
        <v>510</v>
      </c>
      <c r="AQ4" s="82" t="s">
        <v>511</v>
      </c>
      <c r="AR4" s="82" t="s">
        <v>512</v>
      </c>
      <c r="AS4" s="82" t="s">
        <v>513</v>
      </c>
      <c r="AT4" s="82" t="s">
        <v>514</v>
      </c>
      <c r="AU4" s="82" t="s">
        <v>515</v>
      </c>
      <c r="AV4" s="88" t="s">
        <v>516</v>
      </c>
      <c r="AW4" s="103" t="s">
        <v>517</v>
      </c>
      <c r="AX4" s="99"/>
      <c r="AY4" s="104" t="s">
        <v>518</v>
      </c>
      <c r="BA4" s="58"/>
      <c r="BB4" s="58"/>
      <c r="BC4" s="59"/>
      <c r="BD4" s="59"/>
      <c r="BE4" s="59"/>
      <c r="BF4" s="59"/>
      <c r="BG4" s="60"/>
      <c r="BH4" s="58"/>
      <c r="BI4" s="58"/>
      <c r="BJ4" s="69"/>
      <c r="BK4" s="69"/>
      <c r="BL4" s="71" t="s">
        <v>498</v>
      </c>
      <c r="BM4" s="72" t="s">
        <v>499</v>
      </c>
      <c r="BN4" s="73" t="s">
        <v>500</v>
      </c>
      <c r="BO4" s="73" t="s">
        <v>501</v>
      </c>
      <c r="BP4" s="73" t="s">
        <v>502</v>
      </c>
      <c r="BQ4" s="84"/>
      <c r="BR4" s="85" t="s">
        <v>503</v>
      </c>
      <c r="BS4" s="85" t="s">
        <v>439</v>
      </c>
      <c r="BT4" s="85" t="s">
        <v>437</v>
      </c>
      <c r="BU4" s="85" t="s">
        <v>440</v>
      </c>
      <c r="BV4" s="86"/>
      <c r="BW4" s="86" t="s">
        <v>445</v>
      </c>
      <c r="BX4" s="86" t="s">
        <v>446</v>
      </c>
      <c r="BY4" s="86" t="s">
        <v>447</v>
      </c>
      <c r="BZ4" s="86" t="s">
        <v>448</v>
      </c>
      <c r="CA4" s="86" t="s">
        <v>449</v>
      </c>
      <c r="CB4" s="86" t="s">
        <v>450</v>
      </c>
      <c r="CC4" s="82"/>
      <c r="CD4" s="82"/>
      <c r="CE4" s="82"/>
      <c r="CF4" s="82"/>
      <c r="CG4" s="82"/>
      <c r="CH4" s="82"/>
      <c r="CI4" s="82" t="s">
        <v>504</v>
      </c>
      <c r="CJ4" s="82" t="s">
        <v>505</v>
      </c>
      <c r="CK4" s="82" t="s">
        <v>506</v>
      </c>
      <c r="CL4" s="82" t="s">
        <v>507</v>
      </c>
      <c r="CM4" s="82" t="s">
        <v>508</v>
      </c>
      <c r="CN4" s="82" t="s">
        <v>509</v>
      </c>
      <c r="CO4" s="82" t="s">
        <v>510</v>
      </c>
      <c r="CP4" s="82" t="s">
        <v>511</v>
      </c>
      <c r="CQ4" s="82" t="s">
        <v>512</v>
      </c>
      <c r="CR4" s="82" t="s">
        <v>513</v>
      </c>
      <c r="CS4" s="82" t="s">
        <v>514</v>
      </c>
      <c r="CT4" s="82" t="s">
        <v>515</v>
      </c>
      <c r="CU4" s="82" t="s">
        <v>516</v>
      </c>
      <c r="CV4" s="111" t="s">
        <v>517</v>
      </c>
      <c r="CW4" s="99" t="s">
        <v>465</v>
      </c>
      <c r="CX4" s="99" t="s">
        <v>518</v>
      </c>
    </row>
    <row r="5" ht="16.5" customHeight="1" spans="1:102">
      <c r="A5" s="61"/>
      <c r="B5" s="61" t="s">
        <v>519</v>
      </c>
      <c r="C5" s="62" t="str">
        <f>$AD$3&amp;IF(ISBLANK(AD5),0,AD5)&amp;";"&amp;$AE$3&amp;IF(ISBLANK(AE5),0,AE5)&amp;";"&amp;$AF$3&amp;IF(ISBLANK(AF5),0,AF5)&amp;";"&amp;$AG$3&amp;IF(ISBLANK(AG5),0,AG5)&amp;";"&amp;$AH$3&amp;IF(ISBLANK(AH5),0,AH5)&amp;";"&amp;$AI$3&amp;IF(ISBLANK(AI5),0,AI5)</f>
        <v>1012:1;1011:0;4001:2;4004:0;4005:0;4007:0</v>
      </c>
      <c r="D5" s="62" t="str">
        <f>VLOOKUP(O5,'!无用'!$B$4:$D$7,3)&amp;IF(O5=0,AL5,)&amp;IF(O5=1,AM5,)&amp;IF(O5=2,AN5,)&amp;IF(O5=3,AO5,)&amp;";"&amp;VLOOKUP(P5,'!无用'!$B$8:$D$9,3)&amp;IF(P5=1,1,)&amp;IF(P5=0,AP5,)&amp;IF(Q5=3,,";"&amp;VLOOKUP(Q5,'!无用'!$B$10:$D$13,3))</f>
        <v>gold:6;customer:1</v>
      </c>
      <c r="E5" s="63" t="str">
        <f>"wt:2;stp:"&amp;AU5&amp;";wait:"&amp;AV5</f>
        <v>wt:2;stp:2;wait:8</v>
      </c>
      <c r="F5" s="64" t="str">
        <f>IF(ISBLANK(AT5),$AQ$1&amp;AQ5&amp;";",)&amp;$AR$1&amp;AR5&amp;IF(ISBLANK(AT5),,";"&amp;$AT$1&amp;AT5)</f>
        <v>gold:20;maxdemand:2</v>
      </c>
      <c r="G5" s="65" t="str">
        <f>$S$2&amp;IF(ISBLANK(S5),0,S5)&amp;";"&amp;$T$2&amp;IF(ISBLANK(T5),0,T5)&amp;";"&amp;$U$2&amp;IF(ISBLANK(U5),0,U5)&amp;";"&amp;$V$2&amp;IF(ISBLANK(V5),0,V5)</f>
        <v>2002:1;2003:1;2001:1;2004:0</v>
      </c>
      <c r="H5" s="66" t="str">
        <f>$X$2&amp;IF(ISBLANK(X5),0,X5)&amp;";"&amp;$Y$2&amp;IF(ISBLANK(Y5),0,Y5)&amp;";"&amp;$Z$2&amp;IF(ISBLANK(Z5),0,Z5)&amp;";"&amp;$AA$2&amp;IF(ISBLANK(AA5),0,AA5)&amp;";"&amp;$AB$2&amp;IF(ISBLANK(AB5),0,AB5)&amp;";"&amp;$AC$2&amp;IF(ISBLANK(AC5),0,AC5)</f>
        <v>1000:1;1003:1;1005:1;1002:0;1004:0;1001:0</v>
      </c>
      <c r="I5" s="74" t="str">
        <f>VLOOKUP(O5,'!无用'!$B$4:$C$7,2)&amp;"、"&amp;VLOOKUP(P5,'!无用'!$B$8:$C$9,2)&amp;"、"&amp;VLOOKUP(Q5,'!无用'!$B$10:$C$13,2)</f>
        <v>金币、人数、无</v>
      </c>
      <c r="J5" s="74"/>
      <c r="K5" s="75">
        <v>1</v>
      </c>
      <c r="L5" s="38">
        <v>1</v>
      </c>
      <c r="M5" s="38">
        <v>0</v>
      </c>
      <c r="N5" s="38">
        <v>1</v>
      </c>
      <c r="O5" s="76">
        <v>0</v>
      </c>
      <c r="P5" s="76">
        <v>1</v>
      </c>
      <c r="Q5" s="76">
        <v>3</v>
      </c>
      <c r="R5" s="13"/>
      <c r="S5" s="38">
        <v>1</v>
      </c>
      <c r="T5" s="38">
        <v>1</v>
      </c>
      <c r="U5" s="38">
        <v>1</v>
      </c>
      <c r="V5" s="38"/>
      <c r="W5" s="38"/>
      <c r="X5" s="38">
        <v>1</v>
      </c>
      <c r="Y5" s="38">
        <v>1</v>
      </c>
      <c r="Z5" s="38">
        <v>1</v>
      </c>
      <c r="AA5" s="38"/>
      <c r="AB5" s="38"/>
      <c r="AC5" s="38"/>
      <c r="AD5" s="89">
        <v>1</v>
      </c>
      <c r="AE5" s="89"/>
      <c r="AF5" s="89">
        <v>2</v>
      </c>
      <c r="AG5" s="89"/>
      <c r="AH5" s="89"/>
      <c r="AI5" s="89"/>
      <c r="AJ5" s="89"/>
      <c r="AK5" s="89"/>
      <c r="AL5" s="89">
        <v>6</v>
      </c>
      <c r="AM5" s="89"/>
      <c r="AN5" s="89"/>
      <c r="AO5" s="89"/>
      <c r="AP5" s="89"/>
      <c r="AQ5" s="95">
        <v>20</v>
      </c>
      <c r="AR5" s="96">
        <v>2</v>
      </c>
      <c r="AS5" s="95"/>
      <c r="AT5" s="95"/>
      <c r="AU5" s="97">
        <v>2</v>
      </c>
      <c r="AV5" s="97">
        <v>8</v>
      </c>
      <c r="AW5" s="105" t="s">
        <v>520</v>
      </c>
      <c r="AX5" s="106"/>
      <c r="AY5" s="106">
        <f>32+AV5</f>
        <v>40</v>
      </c>
      <c r="BB5" s="62" t="str">
        <f>$AD$3&amp;IF(ISBLANK(CC5),0,CC5)&amp;";"&amp;$AE$3&amp;IF(ISBLANK(CD5),0,CD5)&amp;";"&amp;$AF$3&amp;IF(ISBLANK(CE5),0,CE5)&amp;";"&amp;$AG$3&amp;IF(ISBLANK(CF5),0,CF5)&amp;";"&amp;$AH$3&amp;IF(ISBLANK(CG5),0,CG5)&amp;";"&amp;$AI$3&amp;IF(ISBLANK(CH5),0,CH5)</f>
        <v>1012:1;1011:0;4001:2;4004:0;4005:0;4007:0</v>
      </c>
      <c r="BC5" s="62" t="str">
        <f>VLOOKUP(BN5,'!无用'!$B$4:$D$7,3)&amp;IF(BN5=0,CK5,)&amp;IF(BN5=1,CL5,)&amp;IF(BN5=2,CM5,)&amp;IF(BN5=3,CN5,)&amp;";"&amp;VLOOKUP(BO5,'!无用'!$B$8:$D$9,3)&amp;IF(BO5=1,1,)&amp;IF(BO5=0,CO5,)&amp;IF(BP5=3,,";"&amp;VLOOKUP(BP5,'!无用'!$B$10:$D$13,3))</f>
        <v>role:14;customer:1</v>
      </c>
      <c r="BD5" s="63" t="str">
        <f t="shared" ref="BD5:BD19" si="0">"wt:2;stp:"&amp;CT5&amp;";wait:"&amp;CU5</f>
        <v>wt:2;stp:2;wait:6</v>
      </c>
      <c r="BE5" s="64" t="str">
        <f>IF(ISBLANK(CS5),$AQ$1&amp;CP5&amp;";",)&amp;$AR$1&amp;CQ5&amp;IF(ISBLANK(CS5),,";"&amp;$AT$1&amp;CS5)</f>
        <v>maxdemand:2;foodcount:20</v>
      </c>
      <c r="BF5" s="65" t="str">
        <f>$S$2&amp;IF(ISBLANK(BR5),0,BR5)&amp;";"&amp;$T$2&amp;IF(ISBLANK(BS5),0,BS5)&amp;";"&amp;$U$2&amp;IF(ISBLANK(BT5),0,BT5)&amp;";"&amp;$V$2&amp;IF(ISBLANK(BU5),0,BU5)</f>
        <v>2002:1;2003:1;2001:1;2004:0</v>
      </c>
      <c r="BG5" s="66" t="str">
        <f>$X$2&amp;IF(ISBLANK(BW5),0,BW5)&amp;";"&amp;$Y$2&amp;IF(ISBLANK(BX5),0,BX5)&amp;";"&amp;$Z$2&amp;IF(ISBLANK(BY5),0,BY5)&amp;";"&amp;$AA$2&amp;IF(ISBLANK(BZ5),0,BZ5)&amp;";"&amp;$AB$2&amp;IF(ISBLANK(CA5),0,CA5)&amp;";"&amp;$AC$2&amp;IF(ISBLANK(CB5),0,CB5)</f>
        <v>1000:1;1003:1;1005:1;1002:0;1004:0;1001:0</v>
      </c>
      <c r="BH5" s="77" t="str">
        <f>VLOOKUP(BN5,'!无用'!$B$4:$C$7,2)&amp;"、"&amp;VLOOKUP(BO5,'!无用'!$B$8:$C$9,2)&amp;"、"&amp;VLOOKUP(BP5,'!无用'!$B$10:$C$13,2)</f>
        <v>顾客、人数、无</v>
      </c>
      <c r="BI5" s="77"/>
      <c r="BJ5" s="75">
        <v>1</v>
      </c>
      <c r="BK5" s="38">
        <v>2</v>
      </c>
      <c r="BL5" s="38">
        <v>0</v>
      </c>
      <c r="BM5" s="38">
        <v>0</v>
      </c>
      <c r="BN5" s="109">
        <v>2</v>
      </c>
      <c r="BO5" s="109">
        <v>1</v>
      </c>
      <c r="BP5" s="109">
        <v>3</v>
      </c>
      <c r="BQ5" s="13"/>
      <c r="BR5" s="38">
        <v>1</v>
      </c>
      <c r="BS5" s="38">
        <v>1</v>
      </c>
      <c r="BT5" s="38">
        <v>1</v>
      </c>
      <c r="BU5" s="38"/>
      <c r="BV5" s="38"/>
      <c r="BW5" s="38">
        <v>1</v>
      </c>
      <c r="BX5" s="38">
        <v>1</v>
      </c>
      <c r="BY5" s="38">
        <v>1</v>
      </c>
      <c r="BZ5" s="38"/>
      <c r="CA5" s="38"/>
      <c r="CB5" s="38"/>
      <c r="CC5" s="89">
        <v>1</v>
      </c>
      <c r="CD5" s="89"/>
      <c r="CE5" s="89">
        <v>2</v>
      </c>
      <c r="CF5" s="89"/>
      <c r="CG5" s="89"/>
      <c r="CH5" s="89"/>
      <c r="CI5" s="89"/>
      <c r="CJ5" s="89"/>
      <c r="CK5" s="89"/>
      <c r="CL5" s="89"/>
      <c r="CM5" s="89">
        <v>14</v>
      </c>
      <c r="CN5" s="89"/>
      <c r="CO5" s="89"/>
      <c r="CP5" s="95"/>
      <c r="CQ5" s="96">
        <v>2</v>
      </c>
      <c r="CR5" s="89">
        <v>90</v>
      </c>
      <c r="CS5" s="95">
        <v>20</v>
      </c>
      <c r="CT5" s="97">
        <v>2</v>
      </c>
      <c r="CU5" s="97">
        <v>6</v>
      </c>
      <c r="CV5" s="112" t="s">
        <v>521</v>
      </c>
      <c r="CW5" s="106"/>
      <c r="CX5" s="106">
        <f t="shared" ref="CX5:CX19" si="1">32+CU5</f>
        <v>38</v>
      </c>
    </row>
    <row r="6" ht="16.5" customHeight="1" spans="1:102">
      <c r="A6" s="61"/>
      <c r="B6" s="61" t="s">
        <v>522</v>
      </c>
      <c r="C6" s="62" t="str">
        <f t="shared" ref="C6:C19" si="2">$AD$3&amp;IF(ISBLANK(AD6),0,AD6)&amp;";"&amp;$AE$3&amp;IF(ISBLANK(AE6),0,AE6)&amp;";"&amp;$AF$3&amp;IF(ISBLANK(AF6),0,AF6)&amp;";"&amp;$AG$3&amp;IF(ISBLANK(AG6),0,AG6)&amp;";"&amp;$AH$3&amp;IF(ISBLANK(AH6),0,AH6)&amp;";"&amp;$AI$3&amp;IF(ISBLANK(AI6),0,AI6)</f>
        <v>1012:1;1011:0;4001:2;4004:0;4005:0;4007:0</v>
      </c>
      <c r="D6" s="62" t="str">
        <f>VLOOKUP(O6,'!无用'!$B$4:$D$7,3)&amp;IF(O6=0,AL6,)&amp;IF(O6=1,AM6,)&amp;IF(O6=2,AN6,)&amp;IF(O6=3,AO6,)&amp;";"&amp;VLOOKUP(P6,'!无用'!$B$8:$D$9,3)&amp;IF(P6=1,1,)&amp;IF(P6=0,AP6,)&amp;IF(Q6=3,,";"&amp;VLOOKUP(Q6,'!无用'!$B$10:$D$13,3))</f>
        <v>dish:13;customer:1</v>
      </c>
      <c r="E6" s="63" t="str">
        <f t="shared" ref="E6:E19" si="3">"wt:2;stp:"&amp;AU6&amp;";wait:"&amp;AV6</f>
        <v>wt:2;stp:2;wait:8</v>
      </c>
      <c r="F6" s="64" t="str">
        <f t="shared" ref="F6:F19" si="4">IF(ISBLANK(AT6),$AQ$1&amp;AQ6&amp;";",)&amp;$AR$1&amp;AR6&amp;IF(ISBLANK(AT6),,";"&amp;$AT$1&amp;AT6)</f>
        <v>maxdemand:2;foodcount:13</v>
      </c>
      <c r="G6" s="65" t="str">
        <f t="shared" ref="G6:G19" si="5">$S$2&amp;IF(ISBLANK(S6),0,S6)&amp;";"&amp;$T$2&amp;IF(ISBLANK(T6),0,T6)&amp;";"&amp;$U$2&amp;IF(ISBLANK(U6),0,U6)&amp;";"&amp;$V$2&amp;IF(ISBLANK(V6),0,V6)</f>
        <v>2002:1;2003:1;2001:1;2004:0</v>
      </c>
      <c r="H6" s="66" t="str">
        <f t="shared" ref="H6:H19" si="6">$X$2&amp;IF(ISBLANK(X6),0,X6)&amp;";"&amp;$Y$2&amp;IF(ISBLANK(Y6),0,Y6)&amp;";"&amp;$Z$2&amp;IF(ISBLANK(Z6),0,Z6)&amp;";"&amp;$AA$2&amp;IF(ISBLANK(AA6),0,AA6)&amp;";"&amp;$AB$2&amp;IF(ISBLANK(AB6),0,AB6)&amp;";"&amp;$AC$2&amp;IF(ISBLANK(AC6),0,AC6)</f>
        <v>1000:1;1003:1;1005:1;1002:0;1004:0;1001:0</v>
      </c>
      <c r="I6" s="77" t="str">
        <f>VLOOKUP(O6,'!无用'!$B$4:$C$7,2)&amp;"、"&amp;VLOOKUP(P6,'!无用'!$B$8:$C$9,2)&amp;"、"&amp;VLOOKUP(Q6,'!无用'!$B$10:$C$13,2)</f>
        <v>上菜、人数、无</v>
      </c>
      <c r="J6" s="77"/>
      <c r="K6" s="75">
        <v>2</v>
      </c>
      <c r="L6" s="38">
        <v>1</v>
      </c>
      <c r="M6" s="38">
        <v>0</v>
      </c>
      <c r="N6" s="38">
        <v>1</v>
      </c>
      <c r="O6" s="76">
        <v>3</v>
      </c>
      <c r="P6" s="76">
        <v>1</v>
      </c>
      <c r="Q6" s="76">
        <v>3</v>
      </c>
      <c r="R6" s="13"/>
      <c r="S6" s="38">
        <v>1</v>
      </c>
      <c r="T6" s="38">
        <v>1</v>
      </c>
      <c r="U6" s="38">
        <v>1</v>
      </c>
      <c r="V6" s="38"/>
      <c r="W6" s="38"/>
      <c r="X6" s="38">
        <v>1</v>
      </c>
      <c r="Y6" s="38">
        <v>1</v>
      </c>
      <c r="Z6" s="38">
        <v>1</v>
      </c>
      <c r="AA6" s="38"/>
      <c r="AB6" s="38"/>
      <c r="AC6" s="38"/>
      <c r="AD6" s="89">
        <v>1</v>
      </c>
      <c r="AE6" s="89"/>
      <c r="AF6" s="89">
        <v>2</v>
      </c>
      <c r="AG6" s="89"/>
      <c r="AH6" s="89"/>
      <c r="AI6" s="89"/>
      <c r="AJ6" s="89">
        <v>200</v>
      </c>
      <c r="AK6" s="89"/>
      <c r="AL6" s="89"/>
      <c r="AM6" s="89"/>
      <c r="AN6" s="89"/>
      <c r="AO6" s="89">
        <v>13</v>
      </c>
      <c r="AP6" s="89"/>
      <c r="AQ6" s="95"/>
      <c r="AR6" s="96">
        <v>2</v>
      </c>
      <c r="AS6" s="89">
        <v>216</v>
      </c>
      <c r="AT6" s="95">
        <v>13</v>
      </c>
      <c r="AU6" s="97">
        <v>2</v>
      </c>
      <c r="AV6" s="97">
        <v>8</v>
      </c>
      <c r="AW6" s="105" t="s">
        <v>520</v>
      </c>
      <c r="AX6" s="106"/>
      <c r="AY6" s="106">
        <f t="shared" ref="AY6:AY19" si="7">32+AV6</f>
        <v>40</v>
      </c>
      <c r="BB6" s="62" t="str">
        <f>$AD$3&amp;IF(ISBLANK(CC6),0,CC6)&amp;";"&amp;$AE$3&amp;IF(ISBLANK(CD6),0,CD6)&amp;";"&amp;$AF$3&amp;IF(ISBLANK(CE6),0,CE6)&amp;";"&amp;$AG$3&amp;IF(ISBLANK(CF6),0,CF6)&amp;";"&amp;$AH$3&amp;IF(ISBLANK(CG6),0,CG6)&amp;";"&amp;$AI$3&amp;IF(ISBLANK(CH6),0,CH6)</f>
        <v>1012:1;1011:0;4001:2;4004:0;4005:0;4007:0</v>
      </c>
      <c r="BC6" s="62" t="str">
        <f>VLOOKUP(BN6,'!无用'!$B$4:$D$7,3)&amp;IF(BN6=0,CK6,)&amp;IF(BN6=1,CL6,)&amp;IF(BN6=2,CM6,)&amp;IF(BN6=3,CN6,)&amp;";"&amp;VLOOKUP(BO6,'!无用'!$B$8:$D$9,3)&amp;IF(BO6=1,1,)&amp;IF(BO6=0,CO6,)&amp;IF(BP6=3,,";"&amp;VLOOKUP(BP6,'!无用'!$B$10:$D$13,3))</f>
        <v>gold:96;time:100</v>
      </c>
      <c r="BD6" s="63" t="str">
        <f t="shared" si="0"/>
        <v>wt:2;stp:2;wait:6</v>
      </c>
      <c r="BE6" s="64" t="str">
        <f t="shared" ref="BE6:BE19" si="8">IF(ISBLANK(CS6),$AQ$1&amp;CP6&amp;";",)&amp;$AR$1&amp;CQ6&amp;IF(ISBLANK(CS6),,";"&amp;$AT$1&amp;CS6)</f>
        <v>gold:95;maxdemand:2</v>
      </c>
      <c r="BF6" s="65" t="str">
        <f t="shared" ref="BF6:BF19" si="9">$S$2&amp;IF(ISBLANK(BR6),0,BR6)&amp;";"&amp;$T$2&amp;IF(ISBLANK(BS6),0,BS6)&amp;";"&amp;$U$2&amp;IF(ISBLANK(BT6),0,BT6)&amp;";"&amp;$V$2&amp;IF(ISBLANK(BU6),0,BU6)</f>
        <v>2002:1;2003:1;2001:1;2004:0</v>
      </c>
      <c r="BG6" s="66" t="str">
        <f t="shared" ref="BG6:BG19" si="10">$X$2&amp;IF(ISBLANK(BW6),0,BW6)&amp;";"&amp;$Y$2&amp;IF(ISBLANK(BX6),0,BX6)&amp;";"&amp;$Z$2&amp;IF(ISBLANK(BY6),0,BY6)&amp;";"&amp;$AA$2&amp;IF(ISBLANK(BZ6),0,BZ6)&amp;";"&amp;$AB$2&amp;IF(ISBLANK(CA6),0,CA6)&amp;";"&amp;$AC$2&amp;IF(ISBLANK(CB6),0,CB6)</f>
        <v>1000:1;1003:1;1005:1;1002:0;1004:0;1001:0</v>
      </c>
      <c r="BH6" s="77" t="str">
        <f>VLOOKUP(BN6,'!无用'!$B$4:$C$7,2)&amp;"、"&amp;VLOOKUP(BO6,'!无用'!$B$8:$C$9,2)&amp;"、"&amp;VLOOKUP(BP6,'!无用'!$B$10:$C$13,2)</f>
        <v>金币、时间、无</v>
      </c>
      <c r="BI6" s="77"/>
      <c r="BJ6" s="75">
        <v>2</v>
      </c>
      <c r="BK6" s="38">
        <v>2</v>
      </c>
      <c r="BL6" s="38">
        <v>0</v>
      </c>
      <c r="BM6" s="38">
        <v>0</v>
      </c>
      <c r="BN6" s="109">
        <v>0</v>
      </c>
      <c r="BO6" s="109">
        <v>0</v>
      </c>
      <c r="BP6" s="109">
        <v>3</v>
      </c>
      <c r="BQ6" s="13"/>
      <c r="BR6" s="38">
        <v>1</v>
      </c>
      <c r="BS6" s="38">
        <v>1</v>
      </c>
      <c r="BT6" s="38">
        <v>1</v>
      </c>
      <c r="BU6" s="38"/>
      <c r="BV6" s="38"/>
      <c r="BW6" s="38">
        <v>1</v>
      </c>
      <c r="BX6" s="38">
        <v>1</v>
      </c>
      <c r="BY6" s="38">
        <v>1</v>
      </c>
      <c r="BZ6" s="38"/>
      <c r="CA6" s="38"/>
      <c r="CB6" s="38"/>
      <c r="CC6" s="89">
        <v>1</v>
      </c>
      <c r="CD6" s="89"/>
      <c r="CE6" s="89">
        <v>2</v>
      </c>
      <c r="CF6" s="89"/>
      <c r="CG6" s="89"/>
      <c r="CH6" s="89"/>
      <c r="CI6" s="89"/>
      <c r="CJ6" s="89"/>
      <c r="CK6" s="89">
        <v>96</v>
      </c>
      <c r="CL6" s="89"/>
      <c r="CM6" s="89"/>
      <c r="CN6" s="89"/>
      <c r="CO6" s="89">
        <v>100</v>
      </c>
      <c r="CP6" s="95">
        <v>95</v>
      </c>
      <c r="CQ6" s="96">
        <v>2</v>
      </c>
      <c r="CR6" s="89"/>
      <c r="CS6" s="95"/>
      <c r="CT6" s="97">
        <v>2</v>
      </c>
      <c r="CU6" s="97">
        <v>6</v>
      </c>
      <c r="CV6" s="112" t="s">
        <v>520</v>
      </c>
      <c r="CW6" s="106"/>
      <c r="CX6" s="106">
        <f t="shared" si="1"/>
        <v>38</v>
      </c>
    </row>
    <row r="7" ht="16.5" customHeight="1" spans="1:102">
      <c r="A7" s="61"/>
      <c r="B7" s="61" t="s">
        <v>523</v>
      </c>
      <c r="C7" s="62" t="str">
        <f t="shared" si="2"/>
        <v>1012:1;1011:0;4001:2;4004:0;4005:0;4007:0</v>
      </c>
      <c r="D7" s="62" t="str">
        <f>VLOOKUP(O7,'!无用'!$B$4:$D$7,3)&amp;IF(O7=0,AL7,)&amp;IF(O7=1,AM7,)&amp;IF(O7=2,AN7,)&amp;IF(O7=3,AO7,)&amp;";"&amp;VLOOKUP(P7,'!无用'!$B$8:$D$9,3)&amp;IF(P7=1,1,)&amp;IF(P7=0,AP7,)&amp;IF(Q7=3,,";"&amp;VLOOKUP(Q7,'!无用'!$B$10:$D$13,3))</f>
        <v>praise:14;customer:1</v>
      </c>
      <c r="E7" s="63" t="str">
        <f t="shared" si="3"/>
        <v>wt:2;stp:2;wait:8</v>
      </c>
      <c r="F7" s="64" t="str">
        <f t="shared" si="4"/>
        <v>maxdemand:2;foodcount:28</v>
      </c>
      <c r="G7" s="65" t="str">
        <f t="shared" si="5"/>
        <v>2002:2;2003:2;2001:1;2004:0</v>
      </c>
      <c r="H7" s="66" t="str">
        <f t="shared" si="6"/>
        <v>1000:1;1003:1;1005:1;1002:0;1004:0;1001:0</v>
      </c>
      <c r="I7" s="77" t="str">
        <f>VLOOKUP(O7,'!无用'!$B$4:$C$7,2)&amp;"、"&amp;VLOOKUP(P7,'!无用'!$B$8:$C$9,2)&amp;"、"&amp;VLOOKUP(Q7,'!无用'!$B$10:$C$13,2)</f>
        <v>点赞、人数、无</v>
      </c>
      <c r="J7" s="77"/>
      <c r="K7" s="75">
        <v>3</v>
      </c>
      <c r="L7" s="38">
        <v>1</v>
      </c>
      <c r="M7" s="38">
        <v>0</v>
      </c>
      <c r="N7" s="38">
        <v>1</v>
      </c>
      <c r="O7" s="76">
        <v>1</v>
      </c>
      <c r="P7" s="76">
        <v>1</v>
      </c>
      <c r="Q7" s="76">
        <v>3</v>
      </c>
      <c r="R7" s="13"/>
      <c r="S7" s="38">
        <v>2</v>
      </c>
      <c r="T7" s="38">
        <v>2</v>
      </c>
      <c r="U7" s="38">
        <v>1</v>
      </c>
      <c r="V7" s="38"/>
      <c r="W7" s="38"/>
      <c r="X7" s="38">
        <v>1</v>
      </c>
      <c r="Y7" s="38">
        <v>1</v>
      </c>
      <c r="Z7" s="38">
        <v>1</v>
      </c>
      <c r="AA7" s="38"/>
      <c r="AB7" s="38"/>
      <c r="AC7" s="38"/>
      <c r="AD7" s="89">
        <v>1</v>
      </c>
      <c r="AE7" s="89"/>
      <c r="AF7" s="89">
        <v>2</v>
      </c>
      <c r="AG7" s="89"/>
      <c r="AH7" s="89"/>
      <c r="AI7" s="89"/>
      <c r="AJ7" s="89"/>
      <c r="AK7" s="89"/>
      <c r="AL7" s="89"/>
      <c r="AM7" s="89">
        <v>14</v>
      </c>
      <c r="AN7" s="89"/>
      <c r="AO7" s="89"/>
      <c r="AP7" s="89"/>
      <c r="AQ7" s="95"/>
      <c r="AR7" s="96">
        <v>2</v>
      </c>
      <c r="AS7" s="89">
        <v>180</v>
      </c>
      <c r="AT7" s="95">
        <v>28</v>
      </c>
      <c r="AU7" s="97">
        <v>2</v>
      </c>
      <c r="AV7" s="97">
        <v>8</v>
      </c>
      <c r="AW7" s="105" t="s">
        <v>520</v>
      </c>
      <c r="AX7" s="106"/>
      <c r="AY7" s="106">
        <f t="shared" si="7"/>
        <v>40</v>
      </c>
      <c r="BB7" s="62" t="str">
        <f>$AD$3&amp;IF(ISBLANK(CC7),0,CC7)&amp;";"&amp;$AE$3&amp;IF(ISBLANK(CD7),0,CD7)&amp;";"&amp;$AF$3&amp;IF(ISBLANK(CE7),0,CE7)&amp;";"&amp;$AG$3&amp;IF(ISBLANK(CF7),0,CF7)&amp;";"&amp;$AH$3&amp;IF(ISBLANK(CG7),0,CG7)&amp;";"&amp;$AI$3&amp;IF(ISBLANK(CH7),0,CH7)</f>
        <v>1012:1;1011:0;4001:2;4004:0;4005:0;4007:0</v>
      </c>
      <c r="BC7" s="62" t="str">
        <f>VLOOKUP(BN7,'!无用'!$B$4:$D$7,3)&amp;IF(BN7=0,CK7,)&amp;IF(BN7=1,CL7,)&amp;IF(BN7=2,CM7,)&amp;IF(BN7=3,CN7,)&amp;";"&amp;VLOOKUP(BO7,'!无用'!$B$8:$D$9,3)&amp;IF(BO7=1,1,)&amp;IF(BO7=0,CO7,)&amp;IF(BP7=3,,";"&amp;VLOOKUP(BP7,'!无用'!$B$10:$D$13,3))</f>
        <v>dish:20;customer:1;go:0</v>
      </c>
      <c r="BD7" s="63" t="str">
        <f t="shared" si="0"/>
        <v>wt:2;stp:2;wait:6</v>
      </c>
      <c r="BE7" s="64" t="str">
        <f t="shared" si="8"/>
        <v>maxdemand:2;foodcount:20</v>
      </c>
      <c r="BF7" s="65" t="str">
        <f t="shared" si="9"/>
        <v>2002:2;2003:2;2001:1;2004:0</v>
      </c>
      <c r="BG7" s="66" t="str">
        <f t="shared" si="10"/>
        <v>1000:1;1003:1;1005:1;1002:0;1004:0;1001:0</v>
      </c>
      <c r="BH7" s="77" t="str">
        <f>VLOOKUP(BN7,'!无用'!$B$4:$C$7,2)&amp;"、"&amp;VLOOKUP(BO7,'!无用'!$B$8:$C$9,2)&amp;"、"&amp;VLOOKUP(BP7,'!无用'!$B$10:$C$13,2)</f>
        <v>上菜、人数、流失</v>
      </c>
      <c r="BI7" s="77"/>
      <c r="BJ7" s="75">
        <v>3</v>
      </c>
      <c r="BK7" s="38">
        <v>2</v>
      </c>
      <c r="BL7" s="38">
        <v>0</v>
      </c>
      <c r="BM7" s="38">
        <v>0</v>
      </c>
      <c r="BN7" s="109">
        <v>3</v>
      </c>
      <c r="BO7" s="109">
        <v>1</v>
      </c>
      <c r="BP7" s="109">
        <v>1</v>
      </c>
      <c r="BQ7" s="13"/>
      <c r="BR7" s="38">
        <v>2</v>
      </c>
      <c r="BS7" s="38">
        <v>2</v>
      </c>
      <c r="BT7" s="38">
        <v>1</v>
      </c>
      <c r="BU7" s="38"/>
      <c r="BV7" s="38"/>
      <c r="BW7" s="38">
        <v>1</v>
      </c>
      <c r="BX7" s="38">
        <v>1</v>
      </c>
      <c r="BY7" s="38">
        <v>1</v>
      </c>
      <c r="BZ7" s="38"/>
      <c r="CA7" s="38"/>
      <c r="CB7" s="38"/>
      <c r="CC7" s="89">
        <v>1</v>
      </c>
      <c r="CD7" s="89"/>
      <c r="CE7" s="89">
        <v>2</v>
      </c>
      <c r="CF7" s="89"/>
      <c r="CG7" s="89"/>
      <c r="CH7" s="89"/>
      <c r="CI7" s="89"/>
      <c r="CJ7" s="89"/>
      <c r="CK7" s="89"/>
      <c r="CL7" s="89"/>
      <c r="CM7" s="89"/>
      <c r="CN7" s="89">
        <v>20</v>
      </c>
      <c r="CO7" s="89"/>
      <c r="CP7" s="95"/>
      <c r="CQ7" s="96">
        <v>2</v>
      </c>
      <c r="CR7" s="89">
        <v>120</v>
      </c>
      <c r="CS7" s="95">
        <v>20</v>
      </c>
      <c r="CT7" s="97">
        <v>2</v>
      </c>
      <c r="CU7" s="97">
        <v>6</v>
      </c>
      <c r="CV7" s="112" t="s">
        <v>520</v>
      </c>
      <c r="CW7" s="106"/>
      <c r="CX7" s="106">
        <f t="shared" si="1"/>
        <v>38</v>
      </c>
    </row>
    <row r="8" ht="16.5" customHeight="1" spans="1:102">
      <c r="A8" s="61"/>
      <c r="B8" s="61"/>
      <c r="C8" s="62" t="str">
        <f t="shared" si="2"/>
        <v>1012:2;1011:0;4001:1;4004:0;4005:2;4007:0</v>
      </c>
      <c r="D8" s="62" t="str">
        <f>VLOOKUP(O8,'!无用'!$B$4:$D$7,3)&amp;IF(O8=0,AL8,)&amp;IF(O8=1,AM8,)&amp;IF(O8=2,AN8,)&amp;IF(O8=3,AO8,)&amp;";"&amp;VLOOKUP(P8,'!无用'!$B$8:$D$9,3)&amp;IF(P8=1,1,)&amp;IF(P8=0,AP8,)&amp;IF(Q8=3,,";"&amp;VLOOKUP(Q8,'!无用'!$B$10:$D$13,3))</f>
        <v>role:16;customer:1</v>
      </c>
      <c r="E8" s="63" t="str">
        <f t="shared" si="3"/>
        <v>wt:2;stp:3;wait:8</v>
      </c>
      <c r="F8" s="64" t="str">
        <f t="shared" si="4"/>
        <v>maxdemand:2;foodcount:31</v>
      </c>
      <c r="G8" s="65" t="str">
        <f t="shared" si="5"/>
        <v>2002:2;2003:2;2001:1;2004:0</v>
      </c>
      <c r="H8" s="66" t="str">
        <f t="shared" si="6"/>
        <v>1000:1;1003:1;1005:1;1002:1;1004:0;1001:0</v>
      </c>
      <c r="I8" s="77" t="str">
        <f>VLOOKUP(O8,'!无用'!$B$4:$C$7,2)&amp;"、"&amp;VLOOKUP(P8,'!无用'!$B$8:$C$9,2)&amp;"、"&amp;VLOOKUP(Q8,'!无用'!$B$10:$C$13,2)</f>
        <v>顾客、人数、无</v>
      </c>
      <c r="J8" s="77"/>
      <c r="K8" s="75">
        <v>4</v>
      </c>
      <c r="L8" s="38">
        <v>1</v>
      </c>
      <c r="M8" s="38">
        <v>0</v>
      </c>
      <c r="N8" s="38">
        <v>1</v>
      </c>
      <c r="O8" s="76">
        <v>2</v>
      </c>
      <c r="P8" s="76">
        <v>1</v>
      </c>
      <c r="Q8" s="76">
        <v>3</v>
      </c>
      <c r="R8" s="13"/>
      <c r="S8" s="38">
        <v>2</v>
      </c>
      <c r="T8" s="38">
        <v>2</v>
      </c>
      <c r="U8" s="38">
        <v>1</v>
      </c>
      <c r="V8" s="38"/>
      <c r="W8" s="38"/>
      <c r="X8" s="38">
        <v>1</v>
      </c>
      <c r="Y8" s="38">
        <v>1</v>
      </c>
      <c r="Z8" s="38">
        <v>1</v>
      </c>
      <c r="AA8" s="38">
        <v>1</v>
      </c>
      <c r="AB8" s="38"/>
      <c r="AC8" s="38"/>
      <c r="AD8" s="89">
        <v>2</v>
      </c>
      <c r="AE8" s="89"/>
      <c r="AF8" s="89">
        <v>1</v>
      </c>
      <c r="AG8" s="89"/>
      <c r="AH8" s="89">
        <v>2</v>
      </c>
      <c r="AI8" s="89"/>
      <c r="AJ8" s="89"/>
      <c r="AK8" s="89"/>
      <c r="AL8" s="89"/>
      <c r="AM8" s="89"/>
      <c r="AN8" s="89">
        <v>16</v>
      </c>
      <c r="AO8" s="89"/>
      <c r="AP8" s="89"/>
      <c r="AQ8" s="95"/>
      <c r="AR8" s="96">
        <v>2</v>
      </c>
      <c r="AS8" s="89">
        <v>170</v>
      </c>
      <c r="AT8" s="95">
        <v>31</v>
      </c>
      <c r="AU8" s="97">
        <v>3</v>
      </c>
      <c r="AV8" s="97">
        <v>8</v>
      </c>
      <c r="AW8" s="105" t="s">
        <v>524</v>
      </c>
      <c r="AX8" s="106"/>
      <c r="AY8" s="106">
        <f t="shared" si="7"/>
        <v>40</v>
      </c>
      <c r="BB8" s="62" t="str">
        <f>$AD$3&amp;IF(ISBLANK(CC8),0,CC8)&amp;";"&amp;$AE$3&amp;IF(ISBLANK(CD8),0,CD8)&amp;";"&amp;$AF$3&amp;IF(ISBLANK(CE8),0,CE8)&amp;";"&amp;$AG$3&amp;IF(ISBLANK(CF8),0,CF8)&amp;";"&amp;$AH$3&amp;IF(ISBLANK(CG8),0,CG8)&amp;";"&amp;$AI$3&amp;IF(ISBLANK(CH8),0,CH8)</f>
        <v>1012:2;1011:0;4001:3;4004:0;4005:2;4007:0</v>
      </c>
      <c r="BC8" s="62" t="str">
        <f>VLOOKUP(BN8,'!无用'!$B$4:$D$7,3)&amp;IF(BN8=0,CK8,)&amp;IF(BN8=1,CL8,)&amp;IF(BN8=2,CM8,)&amp;IF(BN8=3,CN8,)&amp;";"&amp;VLOOKUP(BO8,'!无用'!$B$8:$D$9,3)&amp;IF(BO8=1,1,)&amp;IF(BO8=0,CO8,)&amp;IF(BP8=3,,";"&amp;VLOOKUP(BP8,'!无用'!$B$10:$D$13,3))</f>
        <v>gold:104;customer:1</v>
      </c>
      <c r="BD8" s="63" t="str">
        <f t="shared" si="0"/>
        <v>wt:2;stp:3;wait:6</v>
      </c>
      <c r="BE8" s="64" t="str">
        <f t="shared" si="8"/>
        <v>gold:100;maxdemand:2</v>
      </c>
      <c r="BF8" s="65" t="str">
        <f t="shared" si="9"/>
        <v>2002:2;2003:2;2001:1;2004:0</v>
      </c>
      <c r="BG8" s="66" t="str">
        <f t="shared" si="10"/>
        <v>1000:1;1003:2;1005:1;1002:1;1004:0;1001:0</v>
      </c>
      <c r="BH8" s="77" t="str">
        <f>VLOOKUP(BN8,'!无用'!$B$4:$C$7,2)&amp;"、"&amp;VLOOKUP(BO8,'!无用'!$B$8:$C$9,2)&amp;"、"&amp;VLOOKUP(BP8,'!无用'!$B$10:$C$13,2)</f>
        <v>金币、人数、无</v>
      </c>
      <c r="BI8" s="77"/>
      <c r="BJ8" s="75">
        <v>4</v>
      </c>
      <c r="BK8" s="38">
        <v>2</v>
      </c>
      <c r="BL8" s="38">
        <v>0</v>
      </c>
      <c r="BM8" s="38">
        <v>0</v>
      </c>
      <c r="BN8" s="109">
        <v>0</v>
      </c>
      <c r="BO8" s="109">
        <v>1</v>
      </c>
      <c r="BP8" s="109">
        <v>3</v>
      </c>
      <c r="BQ8" s="13"/>
      <c r="BR8" s="38">
        <v>2</v>
      </c>
      <c r="BS8" s="38">
        <v>2</v>
      </c>
      <c r="BT8" s="38">
        <v>1</v>
      </c>
      <c r="BU8" s="38"/>
      <c r="BV8" s="38"/>
      <c r="BW8" s="38">
        <v>1</v>
      </c>
      <c r="BX8" s="38">
        <v>2</v>
      </c>
      <c r="BY8" s="38">
        <v>1</v>
      </c>
      <c r="BZ8" s="38">
        <v>1</v>
      </c>
      <c r="CA8" s="38"/>
      <c r="CB8" s="38"/>
      <c r="CC8" s="89">
        <v>2</v>
      </c>
      <c r="CD8" s="89"/>
      <c r="CE8" s="89">
        <v>3</v>
      </c>
      <c r="CF8" s="89"/>
      <c r="CG8" s="89">
        <v>2</v>
      </c>
      <c r="CH8" s="89"/>
      <c r="CI8" s="89"/>
      <c r="CJ8" s="89"/>
      <c r="CK8" s="89">
        <v>104</v>
      </c>
      <c r="CL8" s="89"/>
      <c r="CM8" s="89"/>
      <c r="CN8" s="89"/>
      <c r="CO8" s="89"/>
      <c r="CP8" s="95">
        <v>100</v>
      </c>
      <c r="CQ8" s="96">
        <v>2</v>
      </c>
      <c r="CR8" s="89"/>
      <c r="CS8" s="95"/>
      <c r="CT8" s="97">
        <v>3</v>
      </c>
      <c r="CU8" s="97">
        <v>6</v>
      </c>
      <c r="CV8" s="112" t="s">
        <v>525</v>
      </c>
      <c r="CW8" s="106"/>
      <c r="CX8" s="106">
        <f t="shared" si="1"/>
        <v>38</v>
      </c>
    </row>
    <row r="9" ht="16.5" customHeight="1" spans="1:102">
      <c r="A9" s="61"/>
      <c r="B9" s="61"/>
      <c r="C9" s="62" t="str">
        <f t="shared" si="2"/>
        <v>1012:2;1011:0;4001:1;4004:0;4005:2;4007:0</v>
      </c>
      <c r="D9" s="62" t="str">
        <f>VLOOKUP(O9,'!无用'!$B$4:$D$7,3)&amp;IF(O9=0,AL9,)&amp;IF(O9=1,AM9,)&amp;IF(O9=2,AN9,)&amp;IF(O9=3,AO9,)&amp;";"&amp;VLOOKUP(P9,'!无用'!$B$8:$D$9,3)&amp;IF(P9=1,1,)&amp;IF(P9=0,AP9,)&amp;IF(Q9=3,,";"&amp;VLOOKUP(Q9,'!无用'!$B$10:$D$13,3))</f>
        <v>praise:14;customer:1;wash:0</v>
      </c>
      <c r="E9" s="63" t="str">
        <f t="shared" si="3"/>
        <v>wt:2;stp:3;wait:8</v>
      </c>
      <c r="F9" s="64" t="str">
        <f t="shared" si="4"/>
        <v>maxdemand:2;foodcount:28</v>
      </c>
      <c r="G9" s="65" t="str">
        <f t="shared" si="5"/>
        <v>2002:2;2003:2;2001:1;2004:0</v>
      </c>
      <c r="H9" s="66" t="str">
        <f t="shared" si="6"/>
        <v>1000:1;1003:1;1005:1;1002:1;1004:0;1001:0</v>
      </c>
      <c r="I9" s="77" t="str">
        <f>VLOOKUP(O9,'!无用'!$B$4:$C$7,2)&amp;"、"&amp;VLOOKUP(P9,'!无用'!$B$8:$C$9,2)&amp;"、"&amp;VLOOKUP(Q9,'!无用'!$B$10:$C$13,2)</f>
        <v>点赞、人数、浪费</v>
      </c>
      <c r="J9" s="77"/>
      <c r="K9" s="75">
        <v>5</v>
      </c>
      <c r="L9" s="38">
        <v>1</v>
      </c>
      <c r="M9" s="38">
        <v>0</v>
      </c>
      <c r="N9" s="38">
        <v>1</v>
      </c>
      <c r="O9" s="76">
        <v>1</v>
      </c>
      <c r="P9" s="76">
        <v>1</v>
      </c>
      <c r="Q9" s="76">
        <v>0</v>
      </c>
      <c r="R9" s="13"/>
      <c r="S9" s="38">
        <v>2</v>
      </c>
      <c r="T9" s="38">
        <v>2</v>
      </c>
      <c r="U9" s="38">
        <v>1</v>
      </c>
      <c r="V9" s="38"/>
      <c r="W9" s="38"/>
      <c r="X9" s="38">
        <v>1</v>
      </c>
      <c r="Y9" s="38">
        <v>1</v>
      </c>
      <c r="Z9" s="38">
        <v>1</v>
      </c>
      <c r="AA9" s="38">
        <v>1</v>
      </c>
      <c r="AB9" s="38"/>
      <c r="AC9" s="38"/>
      <c r="AD9" s="89">
        <v>2</v>
      </c>
      <c r="AE9" s="89"/>
      <c r="AF9" s="89">
        <v>1</v>
      </c>
      <c r="AG9" s="89"/>
      <c r="AH9" s="89">
        <v>2</v>
      </c>
      <c r="AI9" s="89"/>
      <c r="AJ9" s="89"/>
      <c r="AK9" s="89"/>
      <c r="AL9" s="89"/>
      <c r="AM9" s="89">
        <v>14</v>
      </c>
      <c r="AN9" s="89"/>
      <c r="AO9" s="89"/>
      <c r="AP9" s="89"/>
      <c r="AQ9" s="95"/>
      <c r="AR9" s="96">
        <v>2</v>
      </c>
      <c r="AS9" s="89">
        <v>150</v>
      </c>
      <c r="AT9" s="95">
        <v>28</v>
      </c>
      <c r="AU9" s="97">
        <v>3</v>
      </c>
      <c r="AV9" s="97">
        <v>8</v>
      </c>
      <c r="AW9" s="105" t="s">
        <v>526</v>
      </c>
      <c r="AX9" s="106"/>
      <c r="AY9" s="106">
        <f t="shared" si="7"/>
        <v>40</v>
      </c>
      <c r="BB9" s="62" t="str">
        <f>$AD$3&amp;IF(ISBLANK(CC9),0,CC9)&amp;";"&amp;$AE$3&amp;IF(ISBLANK(CD9),0,CD9)&amp;";"&amp;$AF$3&amp;IF(ISBLANK(CE9),0,CE9)&amp;";"&amp;$AG$3&amp;IF(ISBLANK(CF9),0,CF9)&amp;";"&amp;$AH$3&amp;IF(ISBLANK(CG9),0,CG9)&amp;";"&amp;$AI$3&amp;IF(ISBLANK(CH9),0,CH9)</f>
        <v>1012:2;1011:0;4001:3;4004:0;4005:2;4007:0</v>
      </c>
      <c r="BC9" s="62" t="str">
        <f>VLOOKUP(BN9,'!无用'!$B$4:$D$7,3)&amp;IF(BN9=0,CK9,)&amp;IF(BN9=1,CL9,)&amp;IF(BN9=2,CM9,)&amp;IF(BN9=3,CN9,)&amp;";"&amp;VLOOKUP(BO9,'!无用'!$B$8:$D$9,3)&amp;IF(BO9=1,1,)&amp;IF(BO9=0,CO9,)&amp;IF(BP9=3,,";"&amp;VLOOKUP(BP9,'!无用'!$B$10:$D$13,3))</f>
        <v>role:12;time:100</v>
      </c>
      <c r="BD9" s="63" t="str">
        <f t="shared" si="0"/>
        <v>wt:2;stp:3;wait:6</v>
      </c>
      <c r="BE9" s="64" t="str">
        <f t="shared" si="8"/>
        <v>gold:110;maxdemand:2</v>
      </c>
      <c r="BF9" s="65" t="str">
        <f t="shared" si="9"/>
        <v>2002:2;2003:2;2001:1;2004:0</v>
      </c>
      <c r="BG9" s="66" t="str">
        <f t="shared" si="10"/>
        <v>1000:1;1003:2;1005:1;1002:1;1004:0;1001:0</v>
      </c>
      <c r="BH9" s="77" t="str">
        <f>VLOOKUP(BN9,'!无用'!$B$4:$C$7,2)&amp;"、"&amp;VLOOKUP(BO9,'!无用'!$B$8:$C$9,2)&amp;"、"&amp;VLOOKUP(BP9,'!无用'!$B$10:$C$13,2)</f>
        <v>顾客、时间、无</v>
      </c>
      <c r="BI9" s="77"/>
      <c r="BJ9" s="75">
        <v>5</v>
      </c>
      <c r="BK9" s="38">
        <v>2</v>
      </c>
      <c r="BL9" s="38">
        <v>0</v>
      </c>
      <c r="BM9" s="38">
        <v>0</v>
      </c>
      <c r="BN9" s="109">
        <v>2</v>
      </c>
      <c r="BO9" s="109">
        <v>0</v>
      </c>
      <c r="BP9" s="109">
        <v>3</v>
      </c>
      <c r="BQ9" s="13"/>
      <c r="BR9" s="38">
        <v>2</v>
      </c>
      <c r="BS9" s="38">
        <v>2</v>
      </c>
      <c r="BT9" s="38">
        <v>1</v>
      </c>
      <c r="BU9" s="38"/>
      <c r="BV9" s="38"/>
      <c r="BW9" s="38">
        <v>1</v>
      </c>
      <c r="BX9" s="38">
        <v>2</v>
      </c>
      <c r="BY9" s="38">
        <v>1</v>
      </c>
      <c r="BZ9" s="38">
        <v>1</v>
      </c>
      <c r="CA9" s="38"/>
      <c r="CB9" s="38"/>
      <c r="CC9" s="89">
        <v>2</v>
      </c>
      <c r="CD9" s="89"/>
      <c r="CE9" s="89">
        <v>3</v>
      </c>
      <c r="CF9" s="89"/>
      <c r="CG9" s="89">
        <v>2</v>
      </c>
      <c r="CH9" s="89"/>
      <c r="CI9" s="89"/>
      <c r="CJ9" s="89"/>
      <c r="CK9" s="89"/>
      <c r="CL9" s="89"/>
      <c r="CM9" s="89">
        <v>12</v>
      </c>
      <c r="CN9" s="89"/>
      <c r="CO9" s="89">
        <v>100</v>
      </c>
      <c r="CP9" s="95">
        <v>110</v>
      </c>
      <c r="CQ9" s="96">
        <v>2</v>
      </c>
      <c r="CR9" s="89"/>
      <c r="CS9" s="95"/>
      <c r="CT9" s="97">
        <v>3</v>
      </c>
      <c r="CU9" s="97">
        <v>6</v>
      </c>
      <c r="CV9" s="112" t="s">
        <v>527</v>
      </c>
      <c r="CW9" s="106"/>
      <c r="CX9" s="106">
        <f t="shared" si="1"/>
        <v>38</v>
      </c>
    </row>
    <row r="10" ht="16.5" customHeight="1" spans="1:102">
      <c r="A10" s="61"/>
      <c r="B10" s="61"/>
      <c r="C10" s="62" t="str">
        <f t="shared" si="2"/>
        <v>1012:2;1011:0;4001:1;4004:3;4005:1;4007:1</v>
      </c>
      <c r="D10" s="62" t="str">
        <f>VLOOKUP(O10,'!无用'!$B$4:$D$7,3)&amp;IF(O10=0,AL10,)&amp;IF(O10=1,AM10,)&amp;IF(O10=2,AN10,)&amp;IF(O10=3,AO10,)&amp;";"&amp;VLOOKUP(P10,'!无用'!$B$8:$D$9,3)&amp;IF(P10=1,1,)&amp;IF(P10=0,AP10,)&amp;IF(Q10=3,,";"&amp;VLOOKUP(Q10,'!无用'!$B$10:$D$13,3))</f>
        <v>gold:94;time:100</v>
      </c>
      <c r="E10" s="63" t="str">
        <f t="shared" si="3"/>
        <v>wt:2;stp:3;wait:8</v>
      </c>
      <c r="F10" s="64" t="str">
        <f t="shared" si="4"/>
        <v>gold:90;maxdemand:2</v>
      </c>
      <c r="G10" s="65" t="str">
        <f t="shared" si="5"/>
        <v>2002:2;2003:2;2001:1;2004:0</v>
      </c>
      <c r="H10" s="66" t="str">
        <f t="shared" si="6"/>
        <v>1000:1;1003:1;1005:1;1002:1;1004:0;1001:1</v>
      </c>
      <c r="I10" s="77" t="str">
        <f>VLOOKUP(O10,'!无用'!$B$4:$C$7,2)&amp;"、"&amp;VLOOKUP(P10,'!无用'!$B$8:$C$9,2)&amp;"、"&amp;VLOOKUP(Q10,'!无用'!$B$10:$C$13,2)</f>
        <v>金币、时间、无</v>
      </c>
      <c r="J10" s="77"/>
      <c r="K10" s="75">
        <v>6</v>
      </c>
      <c r="L10" s="38">
        <v>1</v>
      </c>
      <c r="M10" s="38">
        <v>0</v>
      </c>
      <c r="N10" s="38">
        <v>1</v>
      </c>
      <c r="O10" s="76">
        <v>0</v>
      </c>
      <c r="P10" s="76">
        <v>0</v>
      </c>
      <c r="Q10" s="76">
        <v>3</v>
      </c>
      <c r="R10" s="13"/>
      <c r="S10" s="38">
        <v>2</v>
      </c>
      <c r="T10" s="38">
        <v>2</v>
      </c>
      <c r="U10" s="38">
        <v>1</v>
      </c>
      <c r="V10" s="38"/>
      <c r="W10" s="38"/>
      <c r="X10" s="38">
        <v>1</v>
      </c>
      <c r="Y10" s="38">
        <v>1</v>
      </c>
      <c r="Z10" s="38">
        <v>1</v>
      </c>
      <c r="AA10" s="38">
        <v>1</v>
      </c>
      <c r="AB10" s="38"/>
      <c r="AC10" s="38">
        <v>1</v>
      </c>
      <c r="AD10" s="89">
        <v>2</v>
      </c>
      <c r="AE10" s="89"/>
      <c r="AF10" s="89">
        <v>1</v>
      </c>
      <c r="AG10" s="89">
        <v>3</v>
      </c>
      <c r="AH10" s="89">
        <v>1</v>
      </c>
      <c r="AI10" s="89">
        <v>1</v>
      </c>
      <c r="AJ10" s="89">
        <v>500</v>
      </c>
      <c r="AK10" s="89"/>
      <c r="AL10" s="89">
        <v>94</v>
      </c>
      <c r="AM10" s="89"/>
      <c r="AN10" s="89"/>
      <c r="AO10" s="89"/>
      <c r="AP10" s="89">
        <v>100</v>
      </c>
      <c r="AQ10" s="95">
        <v>90</v>
      </c>
      <c r="AR10" s="96">
        <v>2</v>
      </c>
      <c r="AS10" s="89"/>
      <c r="AT10" s="95"/>
      <c r="AU10" s="97">
        <v>3</v>
      </c>
      <c r="AV10" s="97">
        <v>8</v>
      </c>
      <c r="AW10" s="105" t="s">
        <v>528</v>
      </c>
      <c r="AX10" s="106"/>
      <c r="AY10" s="106">
        <f t="shared" si="7"/>
        <v>40</v>
      </c>
      <c r="BB10" s="62" t="str">
        <f>$AD$3&amp;IF(ISBLANK(CC10),0,CC10)&amp;";"&amp;$AE$3&amp;IF(ISBLANK(CD10),0,CD10)&amp;";"&amp;$AF$3&amp;IF(ISBLANK(CE10),0,CE10)&amp;";"&amp;$AG$3&amp;IF(ISBLANK(CF10),0,CF10)&amp;";"&amp;$AH$3&amp;IF(ISBLANK(CG10),0,CG10)&amp;";"&amp;$AI$3&amp;IF(ISBLANK(CH10),0,CH10)</f>
        <v>1012:2;1011:0;4001:3;4004:3;4005:1;4007:1</v>
      </c>
      <c r="BC10" s="62" t="str">
        <f>VLOOKUP(BN10,'!无用'!$B$4:$D$7,3)&amp;IF(BN10=0,CK10,)&amp;IF(BN10=1,CL10,)&amp;IF(BN10=2,CM10,)&amp;IF(BN10=3,CN10,)&amp;";"&amp;VLOOKUP(BO10,'!无用'!$B$8:$D$9,3)&amp;IF(BO10=1,1,)&amp;IF(BO10=0,CO10,)&amp;IF(BP10=3,,";"&amp;VLOOKUP(BP10,'!无用'!$B$10:$D$13,3))</f>
        <v>praise:13;customer:1</v>
      </c>
      <c r="BD10" s="63" t="str">
        <f t="shared" si="0"/>
        <v>wt:2;stp:3;wait:6</v>
      </c>
      <c r="BE10" s="64" t="str">
        <f t="shared" si="8"/>
        <v>maxdemand:3;foodcount:20</v>
      </c>
      <c r="BF10" s="65" t="str">
        <f t="shared" si="9"/>
        <v>2002:2;2003:2;2001:1;2004:0</v>
      </c>
      <c r="BG10" s="66" t="str">
        <f t="shared" si="10"/>
        <v>1000:2;1003:2;1005:1;1002:1;1004:0;1001:1</v>
      </c>
      <c r="BH10" s="77" t="str">
        <f>VLOOKUP(BN10,'!无用'!$B$4:$C$7,2)&amp;"、"&amp;VLOOKUP(BO10,'!无用'!$B$8:$C$9,2)&amp;"、"&amp;VLOOKUP(BP10,'!无用'!$B$10:$C$13,2)</f>
        <v>点赞、人数、无</v>
      </c>
      <c r="BI10" s="77"/>
      <c r="BJ10" s="75">
        <v>6</v>
      </c>
      <c r="BK10" s="38">
        <v>2</v>
      </c>
      <c r="BL10" s="38">
        <v>0</v>
      </c>
      <c r="BM10" s="38">
        <v>0</v>
      </c>
      <c r="BN10" s="109">
        <v>1</v>
      </c>
      <c r="BO10" s="109">
        <v>1</v>
      </c>
      <c r="BP10" s="109">
        <v>3</v>
      </c>
      <c r="BQ10" s="13"/>
      <c r="BR10" s="38">
        <v>2</v>
      </c>
      <c r="BS10" s="38">
        <v>2</v>
      </c>
      <c r="BT10" s="38">
        <v>1</v>
      </c>
      <c r="BU10" s="38"/>
      <c r="BV10" s="38"/>
      <c r="BW10" s="38">
        <v>2</v>
      </c>
      <c r="BX10" s="38">
        <v>2</v>
      </c>
      <c r="BY10" s="38">
        <v>1</v>
      </c>
      <c r="BZ10" s="38">
        <v>1</v>
      </c>
      <c r="CA10" s="38"/>
      <c r="CB10" s="38">
        <v>1</v>
      </c>
      <c r="CC10" s="89">
        <v>2</v>
      </c>
      <c r="CD10" s="89"/>
      <c r="CE10" s="89">
        <v>3</v>
      </c>
      <c r="CF10" s="89">
        <v>3</v>
      </c>
      <c r="CG10" s="89">
        <v>1</v>
      </c>
      <c r="CH10" s="89">
        <v>1</v>
      </c>
      <c r="CI10" s="89"/>
      <c r="CJ10" s="89"/>
      <c r="CK10" s="89"/>
      <c r="CL10" s="89">
        <v>13</v>
      </c>
      <c r="CM10" s="89"/>
      <c r="CN10" s="89"/>
      <c r="CO10" s="89"/>
      <c r="CP10" s="95"/>
      <c r="CQ10" s="96">
        <v>3</v>
      </c>
      <c r="CR10" s="89">
        <v>120</v>
      </c>
      <c r="CS10" s="95">
        <v>20</v>
      </c>
      <c r="CT10" s="97">
        <v>3</v>
      </c>
      <c r="CU10" s="97">
        <v>6</v>
      </c>
      <c r="CV10" s="112" t="s">
        <v>529</v>
      </c>
      <c r="CW10" s="106"/>
      <c r="CX10" s="106">
        <f t="shared" si="1"/>
        <v>38</v>
      </c>
    </row>
    <row r="11" ht="16.5" customHeight="1" spans="1:102">
      <c r="A11" s="61"/>
      <c r="B11" s="61" t="s">
        <v>530</v>
      </c>
      <c r="C11" s="62" t="str">
        <f t="shared" si="2"/>
        <v>1012:2;1011:0;4001:1;4004:2;4005:2;4007:1</v>
      </c>
      <c r="D11" s="62" t="str">
        <f>VLOOKUP(O11,'!无用'!$B$4:$D$7,3)&amp;IF(O11=0,AL11,)&amp;IF(O11=1,AM11,)&amp;IF(O11=2,AN11,)&amp;IF(O11=3,AO11,)&amp;";"&amp;VLOOKUP(P11,'!无用'!$B$8:$D$9,3)&amp;IF(P11=1,1,)&amp;IF(P11=0,AP11,)&amp;IF(Q11=3,,";"&amp;VLOOKUP(Q11,'!无用'!$B$10:$D$13,3))</f>
        <v>dish:32;customer:1;go:0</v>
      </c>
      <c r="E11" s="63" t="str">
        <f t="shared" si="3"/>
        <v>wt:2;stp:3;wait:8</v>
      </c>
      <c r="F11" s="64" t="str">
        <f t="shared" si="4"/>
        <v>maxdemand:2;foodcount:29</v>
      </c>
      <c r="G11" s="65" t="str">
        <f t="shared" si="5"/>
        <v>2002:2;2003:2;2001:2;2004:0</v>
      </c>
      <c r="H11" s="66" t="str">
        <f t="shared" si="6"/>
        <v>1000:1;1003:1;1005:1;1002:1;1004:0;1001:1</v>
      </c>
      <c r="I11" s="77" t="str">
        <f>VLOOKUP(O11,'!无用'!$B$4:$C$7,2)&amp;"、"&amp;VLOOKUP(P11,'!无用'!$B$8:$C$9,2)&amp;"、"&amp;VLOOKUP(Q11,'!无用'!$B$10:$C$13,2)</f>
        <v>上菜、人数、流失</v>
      </c>
      <c r="J11" s="77"/>
      <c r="K11" s="75">
        <v>7</v>
      </c>
      <c r="L11" s="38">
        <v>1</v>
      </c>
      <c r="M11" s="38">
        <v>0</v>
      </c>
      <c r="N11" s="38">
        <v>0</v>
      </c>
      <c r="O11" s="76">
        <v>3</v>
      </c>
      <c r="P11" s="76">
        <v>1</v>
      </c>
      <c r="Q11" s="76">
        <v>1</v>
      </c>
      <c r="R11" s="13"/>
      <c r="S11" s="38">
        <v>2</v>
      </c>
      <c r="T11" s="38">
        <v>2</v>
      </c>
      <c r="U11" s="38">
        <v>2</v>
      </c>
      <c r="V11" s="38"/>
      <c r="W11" s="38"/>
      <c r="X11" s="38">
        <v>1</v>
      </c>
      <c r="Y11" s="38">
        <v>1</v>
      </c>
      <c r="Z11" s="38">
        <v>1</v>
      </c>
      <c r="AA11" s="38">
        <v>1</v>
      </c>
      <c r="AB11" s="38"/>
      <c r="AC11" s="38">
        <v>1</v>
      </c>
      <c r="AD11" s="89">
        <v>2</v>
      </c>
      <c r="AE11" s="89"/>
      <c r="AF11" s="89">
        <v>1</v>
      </c>
      <c r="AG11" s="89">
        <v>2</v>
      </c>
      <c r="AH11" s="89">
        <v>2</v>
      </c>
      <c r="AI11" s="89">
        <v>1</v>
      </c>
      <c r="AJ11" s="89"/>
      <c r="AK11" s="89"/>
      <c r="AL11" s="89"/>
      <c r="AM11" s="89"/>
      <c r="AN11" s="89"/>
      <c r="AO11" s="89">
        <v>32</v>
      </c>
      <c r="AP11" s="89"/>
      <c r="AQ11" s="95"/>
      <c r="AR11" s="96">
        <v>2</v>
      </c>
      <c r="AS11" s="89">
        <v>150</v>
      </c>
      <c r="AT11" s="95">
        <v>29</v>
      </c>
      <c r="AU11" s="97">
        <v>3</v>
      </c>
      <c r="AV11" s="97">
        <v>8</v>
      </c>
      <c r="AW11" s="105" t="s">
        <v>531</v>
      </c>
      <c r="AX11" s="106"/>
      <c r="AY11" s="106">
        <f t="shared" si="7"/>
        <v>40</v>
      </c>
      <c r="BB11" s="62" t="str">
        <f>$AD$3&amp;IF(ISBLANK(CC11),0,CC11)&amp;";"&amp;$AE$3&amp;IF(ISBLANK(CD11),0,CD11)&amp;";"&amp;$AF$3&amp;IF(ISBLANK(CE11),0,CE11)&amp;";"&amp;$AG$3&amp;IF(ISBLANK(CF11),0,CF11)&amp;";"&amp;$AH$3&amp;IF(ISBLANK(CG11),0,CG11)&amp;";"&amp;$AI$3&amp;IF(ISBLANK(CH11),0,CH11)</f>
        <v>1012:2;1011:0;4001:3;4004:2;4005:2;4007:1</v>
      </c>
      <c r="BC11" s="62" t="str">
        <f>VLOOKUP(BN11,'!无用'!$B$4:$D$7,3)&amp;IF(BN11=0,CK11,)&amp;IF(BN11=1,CL11,)&amp;IF(BN11=2,CM11,)&amp;IF(BN11=3,CN11,)&amp;";"&amp;VLOOKUP(BO11,'!无用'!$B$8:$D$9,3)&amp;IF(BO11=1,1,)&amp;IF(BO11=0,CO11,)&amp;IF(BP11=3,,";"&amp;VLOOKUP(BP11,'!无用'!$B$10:$D$13,3))</f>
        <v>gold:138;customer:1;wash:0</v>
      </c>
      <c r="BD11" s="63" t="str">
        <f t="shared" si="0"/>
        <v>wt:2;stp:3;wait:6</v>
      </c>
      <c r="BE11" s="64" t="str">
        <f t="shared" si="8"/>
        <v>gold:130;maxdemand:2</v>
      </c>
      <c r="BF11" s="65" t="str">
        <f t="shared" si="9"/>
        <v>2002:2;2003:2;2001:2;2004:0</v>
      </c>
      <c r="BG11" s="66" t="str">
        <f t="shared" si="10"/>
        <v>1000:2;1003:2;1005:1;1002:1;1004:0;1001:1</v>
      </c>
      <c r="BH11" s="77" t="str">
        <f>VLOOKUP(BN11,'!无用'!$B$4:$C$7,2)&amp;"、"&amp;VLOOKUP(BO11,'!无用'!$B$8:$C$9,2)&amp;"、"&amp;VLOOKUP(BP11,'!无用'!$B$10:$C$13,2)</f>
        <v>金币、人数、浪费</v>
      </c>
      <c r="BI11" s="77"/>
      <c r="BJ11" s="75">
        <v>7</v>
      </c>
      <c r="BK11" s="38">
        <v>2</v>
      </c>
      <c r="BL11" s="38">
        <v>0</v>
      </c>
      <c r="BM11" s="38">
        <v>1</v>
      </c>
      <c r="BN11" s="109">
        <v>0</v>
      </c>
      <c r="BO11" s="109">
        <v>1</v>
      </c>
      <c r="BP11" s="109">
        <v>0</v>
      </c>
      <c r="BQ11" s="13"/>
      <c r="BR11" s="38">
        <v>2</v>
      </c>
      <c r="BS11" s="38">
        <v>2</v>
      </c>
      <c r="BT11" s="38">
        <v>2</v>
      </c>
      <c r="BU11" s="38"/>
      <c r="BV11" s="38"/>
      <c r="BW11" s="38">
        <v>2</v>
      </c>
      <c r="BX11" s="38">
        <v>2</v>
      </c>
      <c r="BY11" s="38">
        <v>1</v>
      </c>
      <c r="BZ11" s="38">
        <v>1</v>
      </c>
      <c r="CA11" s="38"/>
      <c r="CB11" s="38">
        <v>1</v>
      </c>
      <c r="CC11" s="89">
        <v>2</v>
      </c>
      <c r="CD11" s="89"/>
      <c r="CE11" s="89">
        <v>3</v>
      </c>
      <c r="CF11" s="89">
        <v>2</v>
      </c>
      <c r="CG11" s="89">
        <v>2</v>
      </c>
      <c r="CH11" s="89">
        <v>1</v>
      </c>
      <c r="CI11" s="89"/>
      <c r="CJ11" s="89"/>
      <c r="CK11" s="89">
        <v>138</v>
      </c>
      <c r="CL11" s="89"/>
      <c r="CM11" s="89"/>
      <c r="CN11" s="89"/>
      <c r="CO11" s="89"/>
      <c r="CP11" s="95">
        <v>130</v>
      </c>
      <c r="CQ11" s="96">
        <v>2</v>
      </c>
      <c r="CR11" s="89"/>
      <c r="CS11" s="95"/>
      <c r="CT11" s="97">
        <v>3</v>
      </c>
      <c r="CU11" s="97">
        <v>6</v>
      </c>
      <c r="CV11" s="112" t="s">
        <v>532</v>
      </c>
      <c r="CW11" s="106"/>
      <c r="CX11" s="106">
        <f t="shared" si="1"/>
        <v>38</v>
      </c>
    </row>
    <row r="12" ht="16.5" customHeight="1" spans="1:102">
      <c r="A12" s="61"/>
      <c r="B12" s="61"/>
      <c r="C12" s="62" t="str">
        <f t="shared" si="2"/>
        <v>1012:3;1011:2;4001:1;4004:1;4005:1;4007:1</v>
      </c>
      <c r="D12" s="62" t="str">
        <f>VLOOKUP(O12,'!无用'!$B$4:$D$7,3)&amp;IF(O12=0,AL12,)&amp;IF(O12=1,AM12,)&amp;IF(O12=2,AN12,)&amp;IF(O12=3,AO12,)&amp;";"&amp;VLOOKUP(P12,'!无用'!$B$8:$D$9,3)&amp;IF(P12=1,1,)&amp;IF(P12=0,AP12,)&amp;IF(Q12=3,,";"&amp;VLOOKUP(Q12,'!无用'!$B$10:$D$13,3))</f>
        <v>gold:180;customer:1</v>
      </c>
      <c r="E12" s="63" t="str">
        <f t="shared" si="3"/>
        <v>wt:2;stp:4;wait:6</v>
      </c>
      <c r="F12" s="64" t="str">
        <f t="shared" si="4"/>
        <v>gold:180;maxdemand:2</v>
      </c>
      <c r="G12" s="65" t="str">
        <f t="shared" si="5"/>
        <v>2002:2;2003:2;2001:2;2004:1</v>
      </c>
      <c r="H12" s="66" t="str">
        <f t="shared" si="6"/>
        <v>1000:1;1003:1;1005:1;1002:1;1004:1;1001:1</v>
      </c>
      <c r="I12" s="77" t="str">
        <f>VLOOKUP(O12,'!无用'!$B$4:$C$7,2)&amp;"、"&amp;VLOOKUP(P12,'!无用'!$B$8:$C$9,2)&amp;"、"&amp;VLOOKUP(Q12,'!无用'!$B$10:$C$13,2)</f>
        <v>金币、人数、无</v>
      </c>
      <c r="J12" s="77"/>
      <c r="K12" s="75">
        <v>8</v>
      </c>
      <c r="L12" s="38">
        <v>1</v>
      </c>
      <c r="M12" s="38">
        <v>0</v>
      </c>
      <c r="N12" s="38">
        <v>1</v>
      </c>
      <c r="O12" s="76">
        <v>0</v>
      </c>
      <c r="P12" s="76">
        <v>1</v>
      </c>
      <c r="Q12" s="76">
        <v>3</v>
      </c>
      <c r="R12" s="13"/>
      <c r="S12" s="38">
        <v>2</v>
      </c>
      <c r="T12" s="38">
        <v>2</v>
      </c>
      <c r="U12" s="38">
        <v>2</v>
      </c>
      <c r="V12" s="38">
        <v>1</v>
      </c>
      <c r="W12" s="38"/>
      <c r="X12" s="38">
        <v>1</v>
      </c>
      <c r="Y12" s="38">
        <v>1</v>
      </c>
      <c r="Z12" s="38">
        <v>1</v>
      </c>
      <c r="AA12" s="38">
        <v>1</v>
      </c>
      <c r="AB12" s="38">
        <v>1</v>
      </c>
      <c r="AC12" s="38">
        <v>1</v>
      </c>
      <c r="AD12" s="89">
        <v>3</v>
      </c>
      <c r="AE12" s="89">
        <v>2</v>
      </c>
      <c r="AF12" s="89">
        <v>1</v>
      </c>
      <c r="AG12" s="89">
        <v>1</v>
      </c>
      <c r="AH12" s="89">
        <v>1</v>
      </c>
      <c r="AI12" s="89">
        <v>1</v>
      </c>
      <c r="AJ12" s="89"/>
      <c r="AK12" s="89"/>
      <c r="AL12" s="89">
        <v>180</v>
      </c>
      <c r="AM12" s="89"/>
      <c r="AN12" s="89"/>
      <c r="AO12" s="89"/>
      <c r="AP12" s="89"/>
      <c r="AQ12" s="95">
        <v>180</v>
      </c>
      <c r="AR12" s="96">
        <v>2</v>
      </c>
      <c r="AS12" s="89"/>
      <c r="AT12" s="95"/>
      <c r="AU12" s="97">
        <v>4</v>
      </c>
      <c r="AV12" s="97">
        <v>6</v>
      </c>
      <c r="AW12" s="105" t="s">
        <v>533</v>
      </c>
      <c r="AX12" s="106"/>
      <c r="AY12" s="106">
        <f t="shared" si="7"/>
        <v>38</v>
      </c>
      <c r="BB12" s="62" t="str">
        <f>$AD$3&amp;IF(ISBLANK(CC12),0,CC12)&amp;";"&amp;$AE$3&amp;IF(ISBLANK(CD12),0,CD12)&amp;";"&amp;$AF$3&amp;IF(ISBLANK(CE12),0,CE12)&amp;";"&amp;$AG$3&amp;IF(ISBLANK(CF12),0,CF12)&amp;";"&amp;$AH$3&amp;IF(ISBLANK(CG12),0,CG12)&amp;";"&amp;$AI$3&amp;IF(ISBLANK(CH12),0,CH12)</f>
        <v>1012:3;1011:3;4001:3;4004:1;4005:1;4007:1</v>
      </c>
      <c r="BC12" s="62" t="str">
        <f>VLOOKUP(BN12,'!无用'!$B$4:$D$7,3)&amp;IF(BN12=0,CK12,)&amp;IF(BN12=1,CL12,)&amp;IF(BN12=2,CM12,)&amp;IF(BN12=3,CN12,)&amp;";"&amp;VLOOKUP(BO12,'!无用'!$B$8:$D$9,3)&amp;IF(BO12=1,1,)&amp;IF(BO12=0,CO12,)&amp;IF(BP12=3,,";"&amp;VLOOKUP(BP12,'!无用'!$B$10:$D$13,3))</f>
        <v>dish:28;time:100;go:0</v>
      </c>
      <c r="BD12" s="63" t="str">
        <f t="shared" si="0"/>
        <v>wt:2;stp:4;wait:6</v>
      </c>
      <c r="BE12" s="64" t="str">
        <f t="shared" si="8"/>
        <v>gold:140;maxdemand:3</v>
      </c>
      <c r="BF12" s="65" t="str">
        <f t="shared" si="9"/>
        <v>2002:2;2003:2;2001:2;2004:1</v>
      </c>
      <c r="BG12" s="66" t="str">
        <f t="shared" si="10"/>
        <v>1000:2;1003:2;1005:2;1002:1;1004:1;1001:1</v>
      </c>
      <c r="BH12" s="77" t="str">
        <f>VLOOKUP(BN12,'!无用'!$B$4:$C$7,2)&amp;"、"&amp;VLOOKUP(BO12,'!无用'!$B$8:$C$9,2)&amp;"、"&amp;VLOOKUP(BP12,'!无用'!$B$10:$C$13,2)</f>
        <v>上菜、时间、流失</v>
      </c>
      <c r="BI12" s="77"/>
      <c r="BJ12" s="75">
        <v>8</v>
      </c>
      <c r="BK12" s="38">
        <v>2</v>
      </c>
      <c r="BL12" s="38">
        <v>0</v>
      </c>
      <c r="BM12" s="38">
        <v>0</v>
      </c>
      <c r="BN12" s="109">
        <v>3</v>
      </c>
      <c r="BO12" s="109">
        <v>0</v>
      </c>
      <c r="BP12" s="109">
        <v>1</v>
      </c>
      <c r="BQ12" s="13"/>
      <c r="BR12" s="38">
        <v>2</v>
      </c>
      <c r="BS12" s="38">
        <v>2</v>
      </c>
      <c r="BT12" s="38">
        <v>2</v>
      </c>
      <c r="BU12" s="38">
        <v>1</v>
      </c>
      <c r="BV12" s="38"/>
      <c r="BW12" s="38">
        <v>2</v>
      </c>
      <c r="BX12" s="38">
        <v>2</v>
      </c>
      <c r="BY12" s="38">
        <v>2</v>
      </c>
      <c r="BZ12" s="38">
        <v>1</v>
      </c>
      <c r="CA12" s="38">
        <v>1</v>
      </c>
      <c r="CB12" s="38">
        <v>1</v>
      </c>
      <c r="CC12" s="89">
        <v>3</v>
      </c>
      <c r="CD12" s="89">
        <v>3</v>
      </c>
      <c r="CE12" s="89">
        <v>3</v>
      </c>
      <c r="CF12" s="89">
        <v>1</v>
      </c>
      <c r="CG12" s="89">
        <v>1</v>
      </c>
      <c r="CH12" s="89">
        <v>1</v>
      </c>
      <c r="CI12" s="89"/>
      <c r="CJ12" s="89"/>
      <c r="CK12" s="89"/>
      <c r="CL12" s="89"/>
      <c r="CM12" s="89"/>
      <c r="CN12" s="89">
        <v>28</v>
      </c>
      <c r="CO12" s="89">
        <v>100</v>
      </c>
      <c r="CP12" s="95">
        <v>140</v>
      </c>
      <c r="CQ12" s="96">
        <v>3</v>
      </c>
      <c r="CR12" s="89"/>
      <c r="CS12" s="95"/>
      <c r="CT12" s="97">
        <v>4</v>
      </c>
      <c r="CU12" s="97">
        <v>6</v>
      </c>
      <c r="CV12" s="112" t="s">
        <v>534</v>
      </c>
      <c r="CW12" s="106"/>
      <c r="CX12" s="106">
        <f t="shared" si="1"/>
        <v>38</v>
      </c>
    </row>
    <row r="13" ht="16.5" customHeight="1" spans="1:102">
      <c r="A13" s="61"/>
      <c r="B13" s="61"/>
      <c r="C13" s="62" t="str">
        <f t="shared" si="2"/>
        <v>1012:3;1011:3;4001:1;4004:1;4005:1;4007:1</v>
      </c>
      <c r="D13" s="62" t="str">
        <f>VLOOKUP(O13,'!无用'!$B$4:$D$7,3)&amp;IF(O13=0,AL13,)&amp;IF(O13=1,AM13,)&amp;IF(O13=2,AN13,)&amp;IF(O13=3,AO13,)&amp;";"&amp;VLOOKUP(P13,'!无用'!$B$8:$D$9,3)&amp;IF(P13=1,1,)&amp;IF(P13=0,AP13,)&amp;IF(Q13=3,,";"&amp;VLOOKUP(Q13,'!无用'!$B$10:$D$13,3))</f>
        <v>role:18;time:130;char:0</v>
      </c>
      <c r="E13" s="63" t="str">
        <f t="shared" si="3"/>
        <v>wt:2;stp:3;wait:8</v>
      </c>
      <c r="F13" s="64" t="str">
        <f t="shared" si="4"/>
        <v>gold:130;maxdemand:2</v>
      </c>
      <c r="G13" s="65" t="str">
        <f t="shared" si="5"/>
        <v>2002:2;2003:2;2001:2;2004:1</v>
      </c>
      <c r="H13" s="66" t="str">
        <f t="shared" si="6"/>
        <v>1000:1;1003:1;1005:1;1002:1;1004:1;1001:1</v>
      </c>
      <c r="I13" s="77" t="str">
        <f>VLOOKUP(O13,'!无用'!$B$4:$C$7,2)&amp;"、"&amp;VLOOKUP(P13,'!无用'!$B$8:$C$9,2)&amp;"、"&amp;VLOOKUP(Q13,'!无用'!$B$10:$C$13,2)</f>
        <v>顾客、时间、烧焦</v>
      </c>
      <c r="J13" s="77"/>
      <c r="K13" s="75">
        <v>9</v>
      </c>
      <c r="L13" s="38">
        <v>1</v>
      </c>
      <c r="M13" s="38">
        <v>0</v>
      </c>
      <c r="N13" s="38">
        <v>1</v>
      </c>
      <c r="O13" s="76">
        <v>2</v>
      </c>
      <c r="P13" s="76">
        <v>0</v>
      </c>
      <c r="Q13" s="76">
        <v>2</v>
      </c>
      <c r="R13" s="13"/>
      <c r="S13" s="38">
        <v>2</v>
      </c>
      <c r="T13" s="38">
        <v>2</v>
      </c>
      <c r="U13" s="38">
        <v>2</v>
      </c>
      <c r="V13" s="38">
        <v>1</v>
      </c>
      <c r="W13" s="38"/>
      <c r="X13" s="38">
        <v>1</v>
      </c>
      <c r="Y13" s="38">
        <v>1</v>
      </c>
      <c r="Z13" s="38">
        <v>1</v>
      </c>
      <c r="AA13" s="38">
        <v>1</v>
      </c>
      <c r="AB13" s="38">
        <v>1</v>
      </c>
      <c r="AC13" s="38">
        <v>1</v>
      </c>
      <c r="AD13" s="89">
        <v>3</v>
      </c>
      <c r="AE13" s="89">
        <v>3</v>
      </c>
      <c r="AF13" s="89">
        <v>1</v>
      </c>
      <c r="AG13" s="89">
        <v>1</v>
      </c>
      <c r="AH13" s="89">
        <v>1</v>
      </c>
      <c r="AI13" s="89">
        <v>1</v>
      </c>
      <c r="AJ13" s="89"/>
      <c r="AK13" s="89"/>
      <c r="AL13" s="89"/>
      <c r="AM13" s="89"/>
      <c r="AN13" s="89">
        <v>18</v>
      </c>
      <c r="AO13" s="89"/>
      <c r="AP13" s="89">
        <v>130</v>
      </c>
      <c r="AQ13" s="95">
        <v>130</v>
      </c>
      <c r="AR13" s="96">
        <v>2</v>
      </c>
      <c r="AS13" s="89"/>
      <c r="AT13" s="95"/>
      <c r="AU13" s="97">
        <v>3</v>
      </c>
      <c r="AV13" s="97">
        <v>8</v>
      </c>
      <c r="AW13" s="105" t="s">
        <v>535</v>
      </c>
      <c r="AX13" s="106"/>
      <c r="AY13" s="106">
        <f t="shared" si="7"/>
        <v>40</v>
      </c>
      <c r="BB13" s="62" t="str">
        <f>$AD$3&amp;IF(ISBLANK(CC13),0,CC13)&amp;";"&amp;$AE$3&amp;IF(ISBLANK(CD13),0,CD13)&amp;";"&amp;$AF$3&amp;IF(ISBLANK(CE13),0,CE13)&amp;";"&amp;$AG$3&amp;IF(ISBLANK(CF13),0,CF13)&amp;";"&amp;$AH$3&amp;IF(ISBLANK(CG13),0,CG13)&amp;";"&amp;$AI$3&amp;IF(ISBLANK(CH13),0,CH13)</f>
        <v>1012:3;1011:3;4001:3;4004:1;4005:1;4007:1</v>
      </c>
      <c r="BC13" s="62" t="str">
        <f>VLOOKUP(BN13,'!无用'!$B$4:$D$7,3)&amp;IF(BN13=0,CK13,)&amp;IF(BN13=1,CL13,)&amp;IF(BN13=2,CM13,)&amp;IF(BN13=3,CN13,)&amp;";"&amp;VLOOKUP(BO13,'!无用'!$B$8:$D$9,3)&amp;IF(BO13=1,1,)&amp;IF(BO13=0,CO13,)&amp;IF(BP13=3,,";"&amp;VLOOKUP(BP13,'!无用'!$B$10:$D$13,3))</f>
        <v>gold:160;time:100</v>
      </c>
      <c r="BD13" s="63" t="str">
        <f t="shared" si="0"/>
        <v>wt:2;stp:4;wait:6</v>
      </c>
      <c r="BE13" s="64" t="str">
        <f t="shared" si="8"/>
        <v>gold:150;maxdemand:2</v>
      </c>
      <c r="BF13" s="65" t="str">
        <f t="shared" si="9"/>
        <v>2002:2;2003:2;2001:2;2004:1</v>
      </c>
      <c r="BG13" s="66" t="str">
        <f t="shared" si="10"/>
        <v>1000:2;1003:2;1005:2;1002:2;1004:1;1001:2</v>
      </c>
      <c r="BH13" s="77" t="str">
        <f>VLOOKUP(BN13,'!无用'!$B$4:$C$7,2)&amp;"、"&amp;VLOOKUP(BO13,'!无用'!$B$8:$C$9,2)&amp;"、"&amp;VLOOKUP(BP13,'!无用'!$B$10:$C$13,2)</f>
        <v>金币、时间、无</v>
      </c>
      <c r="BI13" s="77"/>
      <c r="BJ13" s="75">
        <v>9</v>
      </c>
      <c r="BK13" s="38">
        <v>2</v>
      </c>
      <c r="BL13" s="38">
        <v>0</v>
      </c>
      <c r="BM13" s="38">
        <v>0</v>
      </c>
      <c r="BN13" s="109">
        <v>0</v>
      </c>
      <c r="BO13" s="109">
        <v>0</v>
      </c>
      <c r="BP13" s="109">
        <v>3</v>
      </c>
      <c r="BQ13" s="13"/>
      <c r="BR13" s="38">
        <v>2</v>
      </c>
      <c r="BS13" s="38">
        <v>2</v>
      </c>
      <c r="BT13" s="38">
        <v>2</v>
      </c>
      <c r="BU13" s="38">
        <v>1</v>
      </c>
      <c r="BV13" s="38"/>
      <c r="BW13" s="38">
        <v>2</v>
      </c>
      <c r="BX13" s="38">
        <v>2</v>
      </c>
      <c r="BY13" s="38">
        <v>2</v>
      </c>
      <c r="BZ13" s="38">
        <v>2</v>
      </c>
      <c r="CA13" s="38">
        <v>1</v>
      </c>
      <c r="CB13" s="38">
        <v>2</v>
      </c>
      <c r="CC13" s="89">
        <v>3</v>
      </c>
      <c r="CD13" s="89">
        <v>3</v>
      </c>
      <c r="CE13" s="89">
        <v>3</v>
      </c>
      <c r="CF13" s="89">
        <v>1</v>
      </c>
      <c r="CG13" s="89">
        <v>1</v>
      </c>
      <c r="CH13" s="89">
        <v>1</v>
      </c>
      <c r="CI13" s="89"/>
      <c r="CJ13" s="89"/>
      <c r="CK13" s="89">
        <v>160</v>
      </c>
      <c r="CL13" s="89"/>
      <c r="CM13" s="89"/>
      <c r="CN13" s="89"/>
      <c r="CO13" s="89">
        <v>100</v>
      </c>
      <c r="CP13" s="95">
        <v>150</v>
      </c>
      <c r="CQ13" s="96">
        <v>2</v>
      </c>
      <c r="CR13" s="89"/>
      <c r="CS13" s="95"/>
      <c r="CT13" s="97">
        <v>4</v>
      </c>
      <c r="CU13" s="97">
        <v>6</v>
      </c>
      <c r="CV13" s="112" t="s">
        <v>536</v>
      </c>
      <c r="CW13" s="106"/>
      <c r="CX13" s="106">
        <f t="shared" si="1"/>
        <v>38</v>
      </c>
    </row>
    <row r="14" ht="16.5" customHeight="1" spans="1:102">
      <c r="A14" s="61"/>
      <c r="B14" s="61"/>
      <c r="C14" s="62" t="str">
        <f t="shared" si="2"/>
        <v>1012:3;1011:3;4001:1;4004:1;4005:1;4007:1</v>
      </c>
      <c r="D14" s="62" t="str">
        <f>VLOOKUP(O14,'!无用'!$B$4:$D$7,3)&amp;IF(O14=0,AL14,)&amp;IF(O14=1,AM14,)&amp;IF(O14=2,AN14,)&amp;IF(O14=3,AO14,)&amp;";"&amp;VLOOKUP(P14,'!无用'!$B$8:$D$9,3)&amp;IF(P14=1,1,)&amp;IF(P14=0,AP14,)&amp;IF(Q14=3,,";"&amp;VLOOKUP(Q14,'!无用'!$B$10:$D$13,3))</f>
        <v>praise:17;customer:1;wash:0</v>
      </c>
      <c r="E14" s="63" t="str">
        <f t="shared" si="3"/>
        <v>wt:2;stp:4;wait:8</v>
      </c>
      <c r="F14" s="64" t="str">
        <f t="shared" si="4"/>
        <v>maxdemand:2;foodcount:33</v>
      </c>
      <c r="G14" s="65" t="str">
        <f t="shared" si="5"/>
        <v>2002:2;2003:2;2001:2;2004:1</v>
      </c>
      <c r="H14" s="66" t="str">
        <f t="shared" si="6"/>
        <v>1000:1;1003:1;1005:1;1002:1;1004:1;1001:1</v>
      </c>
      <c r="I14" s="77" t="str">
        <f>VLOOKUP(O14,'!无用'!$B$4:$C$7,2)&amp;"、"&amp;VLOOKUP(P14,'!无用'!$B$8:$C$9,2)&amp;"、"&amp;VLOOKUP(Q14,'!无用'!$B$10:$C$13,2)</f>
        <v>点赞、人数、浪费</v>
      </c>
      <c r="J14" s="77"/>
      <c r="K14" s="75">
        <v>10</v>
      </c>
      <c r="L14" s="38">
        <v>1</v>
      </c>
      <c r="M14" s="38">
        <v>0</v>
      </c>
      <c r="N14" s="38">
        <v>0</v>
      </c>
      <c r="O14" s="76">
        <v>1</v>
      </c>
      <c r="P14" s="76">
        <v>1</v>
      </c>
      <c r="Q14" s="76">
        <v>0</v>
      </c>
      <c r="R14" s="13"/>
      <c r="S14" s="38">
        <v>2</v>
      </c>
      <c r="T14" s="38">
        <v>2</v>
      </c>
      <c r="U14" s="38">
        <v>2</v>
      </c>
      <c r="V14" s="38">
        <v>1</v>
      </c>
      <c r="W14" s="38"/>
      <c r="X14" s="38">
        <v>1</v>
      </c>
      <c r="Y14" s="38">
        <v>1</v>
      </c>
      <c r="Z14" s="38">
        <v>1</v>
      </c>
      <c r="AA14" s="38">
        <v>1</v>
      </c>
      <c r="AB14" s="38">
        <v>1</v>
      </c>
      <c r="AC14" s="38">
        <v>1</v>
      </c>
      <c r="AD14" s="89">
        <v>3</v>
      </c>
      <c r="AE14" s="89">
        <v>3</v>
      </c>
      <c r="AF14" s="89">
        <v>1</v>
      </c>
      <c r="AG14" s="89">
        <v>1</v>
      </c>
      <c r="AH14" s="89">
        <v>1</v>
      </c>
      <c r="AI14" s="89">
        <v>1</v>
      </c>
      <c r="AJ14" s="89"/>
      <c r="AK14" s="89">
        <v>2500</v>
      </c>
      <c r="AL14" s="89"/>
      <c r="AM14" s="89">
        <v>17</v>
      </c>
      <c r="AN14" s="89"/>
      <c r="AO14" s="89"/>
      <c r="AP14" s="89"/>
      <c r="AQ14" s="95"/>
      <c r="AR14" s="96">
        <v>2</v>
      </c>
      <c r="AS14" s="89">
        <v>180</v>
      </c>
      <c r="AT14" s="95">
        <v>33</v>
      </c>
      <c r="AU14" s="97">
        <v>4</v>
      </c>
      <c r="AV14" s="97">
        <v>8</v>
      </c>
      <c r="AW14" s="105" t="s">
        <v>537</v>
      </c>
      <c r="AX14" s="106">
        <v>1</v>
      </c>
      <c r="AY14" s="106">
        <f t="shared" si="7"/>
        <v>40</v>
      </c>
      <c r="BB14" s="62" t="str">
        <f>$AD$3&amp;IF(ISBLANK(CC14),0,CC14)&amp;";"&amp;$AE$3&amp;IF(ISBLANK(CD14),0,CD14)&amp;";"&amp;$AF$3&amp;IF(ISBLANK(CE14),0,CE14)&amp;";"&amp;$AG$3&amp;IF(ISBLANK(CF14),0,CF14)&amp;";"&amp;$AH$3&amp;IF(ISBLANK(CG14),0,CG14)&amp;";"&amp;$AI$3&amp;IF(ISBLANK(CH14),0,CH14)</f>
        <v>1012:3;1011:3;4001:3;4004:1;4005:1;4007:1</v>
      </c>
      <c r="BC14" s="62" t="str">
        <f>VLOOKUP(BN14,'!无用'!$B$4:$D$7,3)&amp;IF(BN14=0,CK14,)&amp;IF(BN14=1,CL14,)&amp;IF(BN14=2,CM14,)&amp;IF(BN14=3,CN14,)&amp;";"&amp;VLOOKUP(BO14,'!无用'!$B$8:$D$9,3)&amp;IF(BO14=1,1,)&amp;IF(BO14=0,CO14,)&amp;IF(BP14=3,,";"&amp;VLOOKUP(BP14,'!无用'!$B$10:$D$13,3))</f>
        <v>role:13;time:100;char:0</v>
      </c>
      <c r="BD14" s="63" t="str">
        <f t="shared" si="0"/>
        <v>wt:2;stp:4;wait:6</v>
      </c>
      <c r="BE14" s="64" t="str">
        <f t="shared" si="8"/>
        <v>gold:160;maxdemand:3</v>
      </c>
      <c r="BF14" s="65" t="str">
        <f t="shared" si="9"/>
        <v>2002:2;2003:2;2001:2;2004:1</v>
      </c>
      <c r="BG14" s="66" t="str">
        <f t="shared" si="10"/>
        <v>1000:2;1003:2;1005:2;1002:2;1004:1;1001:2</v>
      </c>
      <c r="BH14" s="77" t="str">
        <f>VLOOKUP(BN14,'!无用'!$B$4:$C$7,2)&amp;"、"&amp;VLOOKUP(BO14,'!无用'!$B$8:$C$9,2)&amp;"、"&amp;VLOOKUP(BP14,'!无用'!$B$10:$C$13,2)</f>
        <v>顾客、时间、烧焦</v>
      </c>
      <c r="BI14" s="77"/>
      <c r="BJ14" s="75">
        <v>10</v>
      </c>
      <c r="BK14" s="38">
        <v>2</v>
      </c>
      <c r="BL14" s="38">
        <v>0</v>
      </c>
      <c r="BM14" s="38">
        <v>1</v>
      </c>
      <c r="BN14" s="109">
        <v>2</v>
      </c>
      <c r="BO14" s="109">
        <v>0</v>
      </c>
      <c r="BP14" s="109">
        <v>2</v>
      </c>
      <c r="BQ14" s="13"/>
      <c r="BR14" s="38">
        <v>2</v>
      </c>
      <c r="BS14" s="38">
        <v>2</v>
      </c>
      <c r="BT14" s="38">
        <v>2</v>
      </c>
      <c r="BU14" s="38">
        <v>1</v>
      </c>
      <c r="BV14" s="38"/>
      <c r="BW14" s="38">
        <v>2</v>
      </c>
      <c r="BX14" s="38">
        <v>2</v>
      </c>
      <c r="BY14" s="38">
        <v>2</v>
      </c>
      <c r="BZ14" s="38">
        <v>2</v>
      </c>
      <c r="CA14" s="38">
        <v>1</v>
      </c>
      <c r="CB14" s="38">
        <v>2</v>
      </c>
      <c r="CC14" s="89">
        <v>3</v>
      </c>
      <c r="CD14" s="89">
        <v>3</v>
      </c>
      <c r="CE14" s="89">
        <v>3</v>
      </c>
      <c r="CF14" s="89">
        <v>1</v>
      </c>
      <c r="CG14" s="89">
        <v>1</v>
      </c>
      <c r="CH14" s="89">
        <v>1</v>
      </c>
      <c r="CI14" s="89"/>
      <c r="CJ14" s="89"/>
      <c r="CK14" s="89"/>
      <c r="CL14" s="89"/>
      <c r="CM14" s="89">
        <v>13</v>
      </c>
      <c r="CN14" s="89"/>
      <c r="CO14" s="89">
        <v>100</v>
      </c>
      <c r="CP14" s="95">
        <v>160</v>
      </c>
      <c r="CQ14" s="96">
        <v>3</v>
      </c>
      <c r="CR14" s="89"/>
      <c r="CS14" s="95"/>
      <c r="CT14" s="97">
        <v>4</v>
      </c>
      <c r="CU14" s="97">
        <v>6</v>
      </c>
      <c r="CV14" s="112" t="s">
        <v>538</v>
      </c>
      <c r="CW14" s="106"/>
      <c r="CX14" s="106">
        <f t="shared" si="1"/>
        <v>38</v>
      </c>
    </row>
    <row r="15" ht="16.5" customHeight="1" spans="1:102">
      <c r="A15" s="61"/>
      <c r="B15" s="61"/>
      <c r="C15" s="62" t="str">
        <f t="shared" si="2"/>
        <v>1012:3;1011:3;4001:1;4004:1;4005:1;4007:1</v>
      </c>
      <c r="D15" s="62" t="str">
        <f>VLOOKUP(O15,'!无用'!$B$4:$D$7,3)&amp;IF(O15=0,AL15,)&amp;IF(O15=1,AM15,)&amp;IF(O15=2,AN15,)&amp;IF(O15=3,AO15,)&amp;";"&amp;VLOOKUP(P15,'!无用'!$B$8:$D$9,3)&amp;IF(P15=1,1,)&amp;IF(P15=0,AP15,)&amp;IF(Q15=3,,";"&amp;VLOOKUP(Q15,'!无用'!$B$10:$D$13,3))</f>
        <v>gold:187;time:100</v>
      </c>
      <c r="E15" s="63" t="str">
        <f t="shared" si="3"/>
        <v>wt:2;stp:4;wait:8</v>
      </c>
      <c r="F15" s="64" t="str">
        <f t="shared" si="4"/>
        <v>gold:180;maxdemand:2</v>
      </c>
      <c r="G15" s="65" t="str">
        <f t="shared" si="5"/>
        <v>2002:2;2003:2;2001:2;2004:1</v>
      </c>
      <c r="H15" s="66" t="str">
        <f t="shared" si="6"/>
        <v>1000:2;1003:2;1005:2;1002:2;1004:1;1001:2</v>
      </c>
      <c r="I15" s="77" t="str">
        <f>VLOOKUP(O15,'!无用'!$B$4:$C$7,2)&amp;"、"&amp;VLOOKUP(P15,'!无用'!$B$8:$C$9,2)&amp;"、"&amp;VLOOKUP(Q15,'!无用'!$B$10:$C$13,2)</f>
        <v>金币、时间、无</v>
      </c>
      <c r="J15" s="77"/>
      <c r="K15" s="78">
        <v>11</v>
      </c>
      <c r="L15" s="38">
        <v>1</v>
      </c>
      <c r="M15" s="38">
        <v>0</v>
      </c>
      <c r="N15" s="38">
        <v>1</v>
      </c>
      <c r="O15" s="76">
        <v>0</v>
      </c>
      <c r="P15" s="76">
        <v>0</v>
      </c>
      <c r="Q15" s="76">
        <v>3</v>
      </c>
      <c r="R15" s="13"/>
      <c r="S15" s="38">
        <v>2</v>
      </c>
      <c r="T15" s="38">
        <v>2</v>
      </c>
      <c r="U15" s="38">
        <v>2</v>
      </c>
      <c r="V15" s="38">
        <v>1</v>
      </c>
      <c r="W15" s="38"/>
      <c r="X15" s="38">
        <v>2</v>
      </c>
      <c r="Y15" s="38">
        <v>2</v>
      </c>
      <c r="Z15" s="38">
        <v>2</v>
      </c>
      <c r="AA15" s="38">
        <v>2</v>
      </c>
      <c r="AB15" s="38">
        <v>1</v>
      </c>
      <c r="AC15" s="38">
        <v>2</v>
      </c>
      <c r="AD15" s="89">
        <v>3</v>
      </c>
      <c r="AE15" s="89">
        <v>3</v>
      </c>
      <c r="AF15" s="89">
        <v>1</v>
      </c>
      <c r="AG15" s="89">
        <v>1</v>
      </c>
      <c r="AH15" s="89">
        <v>1</v>
      </c>
      <c r="AI15" s="89">
        <v>1</v>
      </c>
      <c r="AJ15" s="89">
        <v>1000</v>
      </c>
      <c r="AK15" s="89"/>
      <c r="AL15" s="89">
        <v>187</v>
      </c>
      <c r="AM15" s="89"/>
      <c r="AN15" s="89"/>
      <c r="AO15" s="89"/>
      <c r="AP15" s="89">
        <v>100</v>
      </c>
      <c r="AQ15" s="95">
        <v>180</v>
      </c>
      <c r="AR15" s="96">
        <v>2</v>
      </c>
      <c r="AS15" s="89"/>
      <c r="AT15" s="95"/>
      <c r="AU15" s="97">
        <v>4</v>
      </c>
      <c r="AV15" s="97">
        <v>8</v>
      </c>
      <c r="AW15" s="105" t="s">
        <v>539</v>
      </c>
      <c r="AX15" s="106"/>
      <c r="AY15" s="106">
        <f t="shared" si="7"/>
        <v>40</v>
      </c>
      <c r="BB15" s="62" t="str">
        <f>$AD$3&amp;IF(ISBLANK(CC15),0,CC15)&amp;";"&amp;$AE$3&amp;IF(ISBLANK(CD15),0,CD15)&amp;";"&amp;$AF$3&amp;IF(ISBLANK(CE15),0,CE15)&amp;";"&amp;$AG$3&amp;IF(ISBLANK(CF15),0,CF15)&amp;";"&amp;$AH$3&amp;IF(ISBLANK(CG15),0,CG15)&amp;";"&amp;$AI$3&amp;IF(ISBLANK(CH15),0,CH15)</f>
        <v>1012:3;1011:3;4001:3;4004:1;4005:1;4007:1</v>
      </c>
      <c r="BC15" s="62" t="str">
        <f>VLOOKUP(BN15,'!无用'!$B$4:$D$7,3)&amp;IF(BN15=0,CK15,)&amp;IF(BN15=1,CL15,)&amp;IF(BN15=2,CM15,)&amp;IF(BN15=3,CN15,)&amp;";"&amp;VLOOKUP(BO15,'!无用'!$B$8:$D$9,3)&amp;IF(BO15=1,1,)&amp;IF(BO15=0,CO15,)&amp;IF(BP15=3,,";"&amp;VLOOKUP(BP15,'!无用'!$B$10:$D$13,3))</f>
        <v>praise:14;customer:1;char:0</v>
      </c>
      <c r="BD15" s="63" t="str">
        <f t="shared" si="0"/>
        <v>wt:2;stp:4;wait:6</v>
      </c>
      <c r="BE15" s="64" t="str">
        <f t="shared" si="8"/>
        <v>maxdemand:2;foodcount:20</v>
      </c>
      <c r="BF15" s="65" t="str">
        <f t="shared" si="9"/>
        <v>2002:2;2003:2;2001:2;2004:2</v>
      </c>
      <c r="BG15" s="66" t="str">
        <f t="shared" si="10"/>
        <v>1000:2;1003:2;1005:2;1002:3;1004:2;1001:2</v>
      </c>
      <c r="BH15" s="77" t="str">
        <f>VLOOKUP(BN15,'!无用'!$B$4:$C$7,2)&amp;"、"&amp;VLOOKUP(BO15,'!无用'!$B$8:$C$9,2)&amp;"、"&amp;VLOOKUP(BP15,'!无用'!$B$10:$C$13,2)</f>
        <v>点赞、人数、烧焦</v>
      </c>
      <c r="BI15" s="77"/>
      <c r="BJ15" s="78">
        <v>11</v>
      </c>
      <c r="BK15" s="38">
        <v>2</v>
      </c>
      <c r="BL15" s="38">
        <v>0</v>
      </c>
      <c r="BM15" s="38">
        <v>0</v>
      </c>
      <c r="BN15" s="109">
        <v>1</v>
      </c>
      <c r="BO15" s="109">
        <v>1</v>
      </c>
      <c r="BP15" s="109">
        <v>2</v>
      </c>
      <c r="BQ15" s="13"/>
      <c r="BR15" s="38">
        <v>2</v>
      </c>
      <c r="BS15" s="38">
        <v>2</v>
      </c>
      <c r="BT15" s="38">
        <v>2</v>
      </c>
      <c r="BU15" s="38">
        <v>2</v>
      </c>
      <c r="BV15" s="38"/>
      <c r="BW15" s="38">
        <v>2</v>
      </c>
      <c r="BX15" s="38">
        <v>2</v>
      </c>
      <c r="BY15" s="38">
        <v>2</v>
      </c>
      <c r="BZ15" s="38">
        <v>3</v>
      </c>
      <c r="CA15" s="38">
        <v>2</v>
      </c>
      <c r="CB15" s="38">
        <v>2</v>
      </c>
      <c r="CC15" s="89">
        <v>3</v>
      </c>
      <c r="CD15" s="89">
        <v>3</v>
      </c>
      <c r="CE15" s="89">
        <v>3</v>
      </c>
      <c r="CF15" s="89">
        <v>1</v>
      </c>
      <c r="CG15" s="89">
        <v>1</v>
      </c>
      <c r="CH15" s="89">
        <v>1</v>
      </c>
      <c r="CI15" s="89"/>
      <c r="CJ15" s="89"/>
      <c r="CK15" s="89"/>
      <c r="CL15" s="89">
        <v>14</v>
      </c>
      <c r="CM15" s="89"/>
      <c r="CN15" s="89"/>
      <c r="CO15" s="89"/>
      <c r="CP15" s="95"/>
      <c r="CQ15" s="96">
        <v>2</v>
      </c>
      <c r="CR15" s="89">
        <v>200</v>
      </c>
      <c r="CS15" s="95">
        <v>20</v>
      </c>
      <c r="CT15" s="97">
        <v>4</v>
      </c>
      <c r="CU15" s="97">
        <v>6</v>
      </c>
      <c r="CV15" s="112" t="s">
        <v>540</v>
      </c>
      <c r="CW15" s="106"/>
      <c r="CX15" s="106">
        <f t="shared" si="1"/>
        <v>38</v>
      </c>
    </row>
    <row r="16" ht="16.5" customHeight="1" spans="1:102">
      <c r="A16" s="29"/>
      <c r="B16" s="29"/>
      <c r="C16" s="62" t="str">
        <f t="shared" si="2"/>
        <v>1012:3;1011:4;4001:2;4004:2;4005:2;4007:2</v>
      </c>
      <c r="D16" s="62" t="str">
        <f>VLOOKUP(O16,'!无用'!$B$4:$D$7,3)&amp;IF(O16=0,AL16,)&amp;IF(O16=1,AM16,)&amp;IF(O16=2,AN16,)&amp;IF(O16=3,AO16,)&amp;";"&amp;VLOOKUP(P16,'!无用'!$B$8:$D$9,3)&amp;IF(P16=1,1,)&amp;IF(P16=0,AP16,)&amp;IF(Q16=3,,";"&amp;VLOOKUP(Q16,'!无用'!$B$10:$D$13,3))</f>
        <v>gold:195;customer:1;char:0</v>
      </c>
      <c r="E16" s="63" t="str">
        <f t="shared" si="3"/>
        <v>wt:2;stp:4;wait:8</v>
      </c>
      <c r="F16" s="64" t="str">
        <f t="shared" si="4"/>
        <v>gold:195;maxdemand:2</v>
      </c>
      <c r="G16" s="65" t="str">
        <f t="shared" si="5"/>
        <v>2002:2;2003:3;2001:2;2004:2</v>
      </c>
      <c r="H16" s="66" t="str">
        <f t="shared" si="6"/>
        <v>1000:2;1003:2;1005:2;1002:2;1004:2;1001:2</v>
      </c>
      <c r="I16" s="77" t="str">
        <f>VLOOKUP(O16,'!无用'!$B$4:$C$7,2)&amp;"、"&amp;VLOOKUP(P16,'!无用'!$B$8:$C$9,2)&amp;"、"&amp;VLOOKUP(Q16,'!无用'!$B$10:$C$13,2)</f>
        <v>金币、人数、烧焦</v>
      </c>
      <c r="J16" s="77"/>
      <c r="K16" s="75">
        <v>12</v>
      </c>
      <c r="L16" s="38">
        <v>1</v>
      </c>
      <c r="M16" s="38">
        <v>0</v>
      </c>
      <c r="N16" s="38">
        <v>0</v>
      </c>
      <c r="O16" s="76">
        <v>0</v>
      </c>
      <c r="P16" s="76">
        <v>1</v>
      </c>
      <c r="Q16" s="76">
        <v>2</v>
      </c>
      <c r="R16" s="13"/>
      <c r="S16" s="38">
        <v>2</v>
      </c>
      <c r="T16" s="38">
        <v>3</v>
      </c>
      <c r="U16" s="38">
        <v>2</v>
      </c>
      <c r="V16" s="38">
        <v>2</v>
      </c>
      <c r="W16" s="38"/>
      <c r="X16" s="38">
        <v>2</v>
      </c>
      <c r="Y16" s="38">
        <v>2</v>
      </c>
      <c r="Z16" s="38">
        <v>2</v>
      </c>
      <c r="AA16" s="38">
        <v>2</v>
      </c>
      <c r="AB16" s="38">
        <v>2</v>
      </c>
      <c r="AC16" s="38">
        <v>2</v>
      </c>
      <c r="AD16" s="89">
        <v>3</v>
      </c>
      <c r="AE16" s="89">
        <v>4</v>
      </c>
      <c r="AF16" s="89">
        <v>2</v>
      </c>
      <c r="AG16" s="89">
        <v>2</v>
      </c>
      <c r="AH16" s="89">
        <v>2</v>
      </c>
      <c r="AI16" s="89">
        <v>2</v>
      </c>
      <c r="AJ16" s="89"/>
      <c r="AK16" s="89"/>
      <c r="AL16" s="89">
        <v>195</v>
      </c>
      <c r="AM16" s="89"/>
      <c r="AN16" s="89"/>
      <c r="AO16" s="89"/>
      <c r="AP16" s="89"/>
      <c r="AQ16" s="95">
        <v>195</v>
      </c>
      <c r="AR16" s="96">
        <v>2</v>
      </c>
      <c r="AS16" s="89"/>
      <c r="AT16" s="95"/>
      <c r="AU16" s="97">
        <v>4</v>
      </c>
      <c r="AV16" s="97">
        <v>8</v>
      </c>
      <c r="AW16" s="105" t="s">
        <v>541</v>
      </c>
      <c r="AX16" s="106"/>
      <c r="AY16" s="106">
        <f t="shared" si="7"/>
        <v>40</v>
      </c>
      <c r="BB16" s="62" t="str">
        <f>$AD$3&amp;IF(ISBLANK(CC16),0,CC16)&amp;";"&amp;$AE$3&amp;IF(ISBLANK(CD16),0,CD16)&amp;";"&amp;$AF$3&amp;IF(ISBLANK(CE16),0,CE16)&amp;";"&amp;$AG$3&amp;IF(ISBLANK(CF16),0,CF16)&amp;";"&amp;$AH$3&amp;IF(ISBLANK(CG16),0,CG16)&amp;";"&amp;$AI$3&amp;IF(ISBLANK(CH16),0,CH16)</f>
        <v>1012:3;1011:4;4001:4;4004:2;4005:2;4007:2</v>
      </c>
      <c r="BC16" s="62" t="str">
        <f>VLOOKUP(BN16,'!无用'!$B$4:$D$7,3)&amp;IF(BN16=0,CK16,)&amp;IF(BN16=1,CL16,)&amp;IF(BN16=2,CM16,)&amp;IF(BN16=3,CN16,)&amp;";"&amp;VLOOKUP(BO16,'!无用'!$B$8:$D$9,3)&amp;IF(BO16=1,1,)&amp;IF(BO16=0,CO16,)&amp;IF(BP16=3,,";"&amp;VLOOKUP(BP16,'!无用'!$B$10:$D$13,3))</f>
        <v>dish:33;time:100;wash:0</v>
      </c>
      <c r="BD16" s="63" t="str">
        <f t="shared" si="0"/>
        <v>wt:2;stp:4;wait:6</v>
      </c>
      <c r="BE16" s="64" t="str">
        <f t="shared" si="8"/>
        <v>gold:210;maxdemand:3</v>
      </c>
      <c r="BF16" s="65" t="str">
        <f t="shared" si="9"/>
        <v>2002:2;2003:3;2001:2;2004:2</v>
      </c>
      <c r="BG16" s="66" t="str">
        <f t="shared" si="10"/>
        <v>1000:2;1003:2;1005:2;1002:3;1004:2;1001:3</v>
      </c>
      <c r="BH16" s="77" t="str">
        <f>VLOOKUP(BN16,'!无用'!$B$4:$C$7,2)&amp;"、"&amp;VLOOKUP(BO16,'!无用'!$B$8:$C$9,2)&amp;"、"&amp;VLOOKUP(BP16,'!无用'!$B$10:$C$13,2)</f>
        <v>上菜、时间、浪费</v>
      </c>
      <c r="BI16" s="77"/>
      <c r="BJ16" s="75">
        <v>12</v>
      </c>
      <c r="BK16" s="38">
        <v>2</v>
      </c>
      <c r="BL16" s="38">
        <v>0</v>
      </c>
      <c r="BM16" s="38">
        <v>1</v>
      </c>
      <c r="BN16" s="109">
        <v>3</v>
      </c>
      <c r="BO16" s="109">
        <v>0</v>
      </c>
      <c r="BP16" s="109">
        <v>0</v>
      </c>
      <c r="BQ16" s="13"/>
      <c r="BR16" s="38">
        <v>2</v>
      </c>
      <c r="BS16" s="38">
        <v>3</v>
      </c>
      <c r="BT16" s="38">
        <v>2</v>
      </c>
      <c r="BU16" s="38">
        <v>2</v>
      </c>
      <c r="BV16" s="38"/>
      <c r="BW16" s="38">
        <v>2</v>
      </c>
      <c r="BX16" s="38">
        <v>2</v>
      </c>
      <c r="BY16" s="38">
        <v>2</v>
      </c>
      <c r="BZ16" s="38">
        <v>3</v>
      </c>
      <c r="CA16" s="38">
        <v>2</v>
      </c>
      <c r="CB16" s="38">
        <v>3</v>
      </c>
      <c r="CC16" s="89">
        <v>3</v>
      </c>
      <c r="CD16" s="89">
        <v>4</v>
      </c>
      <c r="CE16" s="89">
        <v>4</v>
      </c>
      <c r="CF16" s="89">
        <v>2</v>
      </c>
      <c r="CG16" s="89">
        <v>2</v>
      </c>
      <c r="CH16" s="89">
        <v>2</v>
      </c>
      <c r="CI16" s="89"/>
      <c r="CJ16" s="89"/>
      <c r="CK16" s="89"/>
      <c r="CL16" s="89"/>
      <c r="CM16" s="89"/>
      <c r="CN16" s="89">
        <v>33</v>
      </c>
      <c r="CO16" s="89">
        <v>100</v>
      </c>
      <c r="CP16" s="95">
        <v>210</v>
      </c>
      <c r="CQ16" s="96">
        <v>3</v>
      </c>
      <c r="CR16" s="89"/>
      <c r="CS16" s="95"/>
      <c r="CT16" s="97">
        <v>4</v>
      </c>
      <c r="CU16" s="97">
        <v>6</v>
      </c>
      <c r="CV16" s="112" t="s">
        <v>542</v>
      </c>
      <c r="CW16" s="106"/>
      <c r="CX16" s="106">
        <f t="shared" si="1"/>
        <v>38</v>
      </c>
    </row>
    <row r="17" ht="16.5" customHeight="1" spans="3:102">
      <c r="C17" s="62" t="str">
        <f t="shared" si="2"/>
        <v>1012:3;1011:4;4001:2;4004:2;4005:2;4007:2</v>
      </c>
      <c r="D17" s="62" t="str">
        <f>VLOOKUP(O17,'!无用'!$B$4:$D$7,3)&amp;IF(O17=0,AL17,)&amp;IF(O17=1,AM17,)&amp;IF(O17=2,AN17,)&amp;IF(O17=3,AO17,)&amp;";"&amp;VLOOKUP(P17,'!无用'!$B$8:$D$9,3)&amp;IF(P17=1,1,)&amp;IF(P17=0,AP17,)&amp;IF(Q17=3,,";"&amp;VLOOKUP(Q17,'!无用'!$B$10:$D$13,3))</f>
        <v>role:40;customer:1</v>
      </c>
      <c r="E17" s="63" t="str">
        <f t="shared" si="3"/>
        <v>wt:2;stp:4;wait:8</v>
      </c>
      <c r="F17" s="64" t="str">
        <f t="shared" si="4"/>
        <v>maxdemand:2;foodcount:80</v>
      </c>
      <c r="G17" s="65" t="str">
        <f t="shared" si="5"/>
        <v>2002:2;2003:3;2001:2;2004:2</v>
      </c>
      <c r="H17" s="66" t="str">
        <f t="shared" si="6"/>
        <v>1000:2;1003:3;1005:2;1002:2;1004:2;1001:2</v>
      </c>
      <c r="I17" s="77" t="str">
        <f>VLOOKUP(O17,'!无用'!$B$4:$C$7,2)&amp;"、"&amp;VLOOKUP(P17,'!无用'!$B$8:$C$9,2)&amp;"、"&amp;VLOOKUP(Q17,'!无用'!$B$10:$C$13,2)</f>
        <v>顾客、人数、无</v>
      </c>
      <c r="J17" s="77"/>
      <c r="K17" s="75">
        <v>13</v>
      </c>
      <c r="L17" s="38">
        <v>1</v>
      </c>
      <c r="M17" s="38">
        <v>0</v>
      </c>
      <c r="N17" s="38">
        <v>1</v>
      </c>
      <c r="O17" s="76">
        <v>2</v>
      </c>
      <c r="P17" s="76">
        <v>1</v>
      </c>
      <c r="Q17" s="76">
        <v>3</v>
      </c>
      <c r="R17" s="13"/>
      <c r="S17" s="38">
        <v>2</v>
      </c>
      <c r="T17" s="38">
        <v>3</v>
      </c>
      <c r="U17" s="38">
        <v>2</v>
      </c>
      <c r="V17" s="38">
        <v>2</v>
      </c>
      <c r="W17" s="38"/>
      <c r="X17" s="38">
        <v>2</v>
      </c>
      <c r="Y17" s="38">
        <v>3</v>
      </c>
      <c r="Z17" s="38">
        <v>2</v>
      </c>
      <c r="AA17" s="38">
        <v>2</v>
      </c>
      <c r="AB17" s="38">
        <v>2</v>
      </c>
      <c r="AC17" s="38">
        <v>2</v>
      </c>
      <c r="AD17" s="89">
        <v>3</v>
      </c>
      <c r="AE17" s="89">
        <v>4</v>
      </c>
      <c r="AF17" s="89">
        <v>2</v>
      </c>
      <c r="AG17" s="89">
        <v>2</v>
      </c>
      <c r="AH17" s="89">
        <v>2</v>
      </c>
      <c r="AI17" s="89">
        <v>2</v>
      </c>
      <c r="AJ17" s="89"/>
      <c r="AK17" s="89"/>
      <c r="AL17" s="89"/>
      <c r="AM17" s="89"/>
      <c r="AN17" s="89">
        <v>40</v>
      </c>
      <c r="AO17" s="89"/>
      <c r="AP17" s="89"/>
      <c r="AQ17" s="95"/>
      <c r="AR17" s="96">
        <v>2</v>
      </c>
      <c r="AS17" s="89">
        <v>245</v>
      </c>
      <c r="AT17" s="95">
        <v>80</v>
      </c>
      <c r="AU17" s="97">
        <v>4</v>
      </c>
      <c r="AV17" s="97">
        <v>8</v>
      </c>
      <c r="AW17" s="105" t="s">
        <v>543</v>
      </c>
      <c r="AX17" s="106"/>
      <c r="AY17" s="106">
        <f t="shared" si="7"/>
        <v>40</v>
      </c>
      <c r="BB17" s="62" t="str">
        <f>$AD$3&amp;IF(ISBLANK(CC17),0,CC17)&amp;";"&amp;$AE$3&amp;IF(ISBLANK(CD17),0,CD17)&amp;";"&amp;$AF$3&amp;IF(ISBLANK(CE17),0,CE17)&amp;";"&amp;$AG$3&amp;IF(ISBLANK(CF17),0,CF17)&amp;";"&amp;$AH$3&amp;IF(ISBLANK(CG17),0,CG17)&amp;";"&amp;$AI$3&amp;IF(ISBLANK(CH17),0,CH17)</f>
        <v>1012:3;1011:4;4001:4;4004:2;4005:2;4007:2</v>
      </c>
      <c r="BC17" s="62" t="str">
        <f>VLOOKUP(BN17,'!无用'!$B$4:$D$7,3)&amp;IF(BN17=0,CK17,)&amp;IF(BN17=1,CL17,)&amp;IF(BN17=2,CM17,)&amp;IF(BN17=3,CN17,)&amp;";"&amp;VLOOKUP(BO17,'!无用'!$B$8:$D$9,3)&amp;IF(BO17=1,1,)&amp;IF(BO17=0,CO17,)&amp;IF(BP17=3,,";"&amp;VLOOKUP(BP17,'!无用'!$B$10:$D$13,3))</f>
        <v>gold:210;customer:1</v>
      </c>
      <c r="BD17" s="63" t="str">
        <f t="shared" si="0"/>
        <v>wt:2;stp:4;wait:6</v>
      </c>
      <c r="BE17" s="64" t="str">
        <f t="shared" si="8"/>
        <v>gold:220;maxdemand:2</v>
      </c>
      <c r="BF17" s="65" t="str">
        <f t="shared" si="9"/>
        <v>2002:2;2003:3;2001:2;2004:2</v>
      </c>
      <c r="BG17" s="66" t="str">
        <f t="shared" si="10"/>
        <v>1000:2;1003:3;1005:2;1002:3;1004:3;1001:3</v>
      </c>
      <c r="BH17" s="77" t="str">
        <f>VLOOKUP(BN17,'!无用'!$B$4:$C$7,2)&amp;"、"&amp;VLOOKUP(BO17,'!无用'!$B$8:$C$9,2)&amp;"、"&amp;VLOOKUP(BP17,'!无用'!$B$10:$C$13,2)</f>
        <v>金币、人数、无</v>
      </c>
      <c r="BI17" s="77"/>
      <c r="BJ17" s="75">
        <v>13</v>
      </c>
      <c r="BK17" s="38">
        <v>2</v>
      </c>
      <c r="BL17" s="38">
        <v>0</v>
      </c>
      <c r="BM17" s="38">
        <v>0</v>
      </c>
      <c r="BN17" s="109">
        <v>0</v>
      </c>
      <c r="BO17" s="109">
        <v>1</v>
      </c>
      <c r="BP17" s="109">
        <v>3</v>
      </c>
      <c r="BQ17" s="13"/>
      <c r="BR17" s="38">
        <v>2</v>
      </c>
      <c r="BS17" s="38">
        <v>3</v>
      </c>
      <c r="BT17" s="38">
        <v>2</v>
      </c>
      <c r="BU17" s="38">
        <v>2</v>
      </c>
      <c r="BV17" s="38"/>
      <c r="BW17" s="38">
        <v>2</v>
      </c>
      <c r="BX17" s="38">
        <v>3</v>
      </c>
      <c r="BY17" s="38">
        <v>2</v>
      </c>
      <c r="BZ17" s="38">
        <v>3</v>
      </c>
      <c r="CA17" s="38">
        <v>3</v>
      </c>
      <c r="CB17" s="38">
        <v>3</v>
      </c>
      <c r="CC17" s="89">
        <v>3</v>
      </c>
      <c r="CD17" s="89">
        <v>4</v>
      </c>
      <c r="CE17" s="89">
        <v>4</v>
      </c>
      <c r="CF17" s="89">
        <v>2</v>
      </c>
      <c r="CG17" s="89">
        <v>2</v>
      </c>
      <c r="CH17" s="89">
        <v>2</v>
      </c>
      <c r="CI17" s="89"/>
      <c r="CJ17" s="89"/>
      <c r="CK17" s="89">
        <v>210</v>
      </c>
      <c r="CL17" s="89"/>
      <c r="CM17" s="89"/>
      <c r="CN17" s="89"/>
      <c r="CO17" s="89"/>
      <c r="CP17" s="95">
        <v>220</v>
      </c>
      <c r="CQ17" s="96">
        <v>2</v>
      </c>
      <c r="CR17" s="89"/>
      <c r="CS17" s="95"/>
      <c r="CT17" s="97">
        <v>4</v>
      </c>
      <c r="CU17" s="97">
        <v>6</v>
      </c>
      <c r="CV17" s="112" t="s">
        <v>544</v>
      </c>
      <c r="CW17" s="106"/>
      <c r="CX17" s="106">
        <f t="shared" si="1"/>
        <v>38</v>
      </c>
    </row>
    <row r="18" ht="21" customHeight="1" spans="3:102">
      <c r="C18" s="62" t="str">
        <f t="shared" si="2"/>
        <v>1012:4;1011:4;4001:2;4004:2;4005:2;4007:2</v>
      </c>
      <c r="D18" s="62" t="str">
        <f>VLOOKUP(O18,'!无用'!$B$4:$D$7,3)&amp;IF(O18=0,AL18,)&amp;IF(O18=1,AM18,)&amp;IF(O18=2,AN18,)&amp;IF(O18=3,AO18,)&amp;";"&amp;VLOOKUP(P18,'!无用'!$B$8:$D$9,3)&amp;IF(P18=1,1,)&amp;IF(P18=0,AP18,)&amp;IF(Q18=3,,";"&amp;VLOOKUP(Q18,'!无用'!$B$10:$D$13,3))</f>
        <v>dish:21;time:90;wash:0</v>
      </c>
      <c r="E18" s="63" t="str">
        <f t="shared" si="3"/>
        <v>wt:2;stp:4;wait:8</v>
      </c>
      <c r="F18" s="64" t="str">
        <f t="shared" si="4"/>
        <v>gold:150;maxdemand:2</v>
      </c>
      <c r="G18" s="65" t="str">
        <f t="shared" si="5"/>
        <v>2002:2;2003:3;2001:3;2004:2</v>
      </c>
      <c r="H18" s="66" t="str">
        <f t="shared" si="6"/>
        <v>1000:3;1003:3;1005:3;1002:2;1004:2;1001:2</v>
      </c>
      <c r="I18" s="77" t="str">
        <f>VLOOKUP(O18,'!无用'!$B$4:$C$7,2)&amp;"、"&amp;VLOOKUP(P18,'!无用'!$B$8:$C$9,2)&amp;"、"&amp;VLOOKUP(Q18,'!无用'!$B$10:$C$13,2)</f>
        <v>上菜、时间、浪费</v>
      </c>
      <c r="J18" s="77"/>
      <c r="K18" s="75">
        <v>14</v>
      </c>
      <c r="L18" s="38">
        <v>1</v>
      </c>
      <c r="M18" s="38">
        <v>0</v>
      </c>
      <c r="N18" s="38">
        <v>0</v>
      </c>
      <c r="O18" s="76">
        <v>3</v>
      </c>
      <c r="P18" s="76">
        <v>0</v>
      </c>
      <c r="Q18" s="76">
        <v>0</v>
      </c>
      <c r="R18" s="13"/>
      <c r="S18" s="38">
        <v>2</v>
      </c>
      <c r="T18" s="38">
        <v>3</v>
      </c>
      <c r="U18" s="38">
        <v>3</v>
      </c>
      <c r="V18" s="38">
        <v>2</v>
      </c>
      <c r="W18" s="38"/>
      <c r="X18" s="38">
        <v>3</v>
      </c>
      <c r="Y18" s="38">
        <v>3</v>
      </c>
      <c r="Z18" s="38">
        <v>3</v>
      </c>
      <c r="AA18" s="38">
        <v>2</v>
      </c>
      <c r="AB18" s="38">
        <v>2</v>
      </c>
      <c r="AC18" s="38">
        <v>2</v>
      </c>
      <c r="AD18" s="89">
        <v>4</v>
      </c>
      <c r="AE18" s="89">
        <v>4</v>
      </c>
      <c r="AF18" s="89">
        <v>2</v>
      </c>
      <c r="AG18" s="89">
        <v>2</v>
      </c>
      <c r="AH18" s="89">
        <v>2</v>
      </c>
      <c r="AI18" s="89">
        <v>2</v>
      </c>
      <c r="AJ18" s="89"/>
      <c r="AK18" s="89"/>
      <c r="AL18" s="89"/>
      <c r="AM18" s="89"/>
      <c r="AN18" s="89"/>
      <c r="AO18" s="89">
        <v>21</v>
      </c>
      <c r="AP18" s="89">
        <v>90</v>
      </c>
      <c r="AQ18" s="95">
        <v>150</v>
      </c>
      <c r="AR18" s="96">
        <v>2</v>
      </c>
      <c r="AS18" s="89"/>
      <c r="AT18" s="95"/>
      <c r="AU18" s="97">
        <v>4</v>
      </c>
      <c r="AV18" s="97">
        <v>8</v>
      </c>
      <c r="AW18" s="105" t="s">
        <v>545</v>
      </c>
      <c r="AX18" s="106"/>
      <c r="AY18" s="106">
        <f t="shared" si="7"/>
        <v>40</v>
      </c>
      <c r="BB18" s="62" t="str">
        <f>$AD$3&amp;IF(ISBLANK(CC18),0,CC18)&amp;";"&amp;$AE$3&amp;IF(ISBLANK(CD18),0,CD18)&amp;";"&amp;$AF$3&amp;IF(ISBLANK(CE18),0,CE18)&amp;";"&amp;$AG$3&amp;IF(ISBLANK(CF18),0,CF18)&amp;";"&amp;$AH$3&amp;IF(ISBLANK(CG18),0,CG18)&amp;";"&amp;$AI$3&amp;IF(ISBLANK(CH18),0,CH18)</f>
        <v>1012:4;1011:4;4001:4;4004:2;4005:2;4007:2</v>
      </c>
      <c r="BC18" s="62" t="str">
        <f>VLOOKUP(BN18,'!无用'!$B$4:$D$7,3)&amp;IF(BN18=0,CK18,)&amp;IF(BN18=1,CL18,)&amp;IF(BN18=2,CM18,)&amp;IF(BN18=3,CN18,)&amp;";"&amp;VLOOKUP(BO18,'!无用'!$B$8:$D$9,3)&amp;IF(BO18=1,1,)&amp;IF(BO18=0,CO18,)&amp;IF(BP18=3,,";"&amp;VLOOKUP(BP18,'!无用'!$B$10:$D$13,3))</f>
        <v>role:14;time:100;char:0</v>
      </c>
      <c r="BD18" s="63" t="str">
        <f t="shared" si="0"/>
        <v>wt:2;stp:4;wait:6</v>
      </c>
      <c r="BE18" s="64" t="str">
        <f t="shared" si="8"/>
        <v>gold:230;maxdemand:3</v>
      </c>
      <c r="BF18" s="65" t="str">
        <f t="shared" si="9"/>
        <v>2002:2;2003:3;2001:3;2004:2</v>
      </c>
      <c r="BG18" s="66" t="str">
        <f t="shared" si="10"/>
        <v>1000:3;1003:3;1005:3;1002:3;1004:3;1001:3</v>
      </c>
      <c r="BH18" s="77" t="str">
        <f>VLOOKUP(BN18,'!无用'!$B$4:$C$7,2)&amp;"、"&amp;VLOOKUP(BO18,'!无用'!$B$8:$C$9,2)&amp;"、"&amp;VLOOKUP(BP18,'!无用'!$B$10:$C$13,2)</f>
        <v>顾客、时间、烧焦</v>
      </c>
      <c r="BI18" s="77"/>
      <c r="BJ18" s="75">
        <v>14</v>
      </c>
      <c r="BK18" s="38">
        <v>2</v>
      </c>
      <c r="BL18" s="38">
        <v>0</v>
      </c>
      <c r="BM18" s="38">
        <v>1</v>
      </c>
      <c r="BN18" s="109">
        <v>2</v>
      </c>
      <c r="BO18" s="109">
        <v>0</v>
      </c>
      <c r="BP18" s="109">
        <v>2</v>
      </c>
      <c r="BQ18" s="13"/>
      <c r="BR18" s="38">
        <v>2</v>
      </c>
      <c r="BS18" s="38">
        <v>3</v>
      </c>
      <c r="BT18" s="38">
        <v>3</v>
      </c>
      <c r="BU18" s="38">
        <v>2</v>
      </c>
      <c r="BV18" s="38"/>
      <c r="BW18" s="38">
        <v>3</v>
      </c>
      <c r="BX18" s="38">
        <v>3</v>
      </c>
      <c r="BY18" s="38">
        <v>3</v>
      </c>
      <c r="BZ18" s="38">
        <v>3</v>
      </c>
      <c r="CA18" s="38">
        <v>3</v>
      </c>
      <c r="CB18" s="38">
        <v>3</v>
      </c>
      <c r="CC18" s="89">
        <v>4</v>
      </c>
      <c r="CD18" s="89">
        <v>4</v>
      </c>
      <c r="CE18" s="89">
        <v>4</v>
      </c>
      <c r="CF18" s="89">
        <v>2</v>
      </c>
      <c r="CG18" s="89">
        <v>2</v>
      </c>
      <c r="CH18" s="89">
        <v>2</v>
      </c>
      <c r="CI18" s="89"/>
      <c r="CJ18" s="89"/>
      <c r="CK18" s="89"/>
      <c r="CL18" s="89"/>
      <c r="CM18" s="89">
        <v>14</v>
      </c>
      <c r="CN18" s="89"/>
      <c r="CO18" s="89">
        <v>100</v>
      </c>
      <c r="CP18" s="95">
        <v>230</v>
      </c>
      <c r="CQ18" s="96">
        <v>3</v>
      </c>
      <c r="CR18" s="89"/>
      <c r="CS18" s="95"/>
      <c r="CT18" s="97">
        <v>4</v>
      </c>
      <c r="CU18" s="97">
        <v>6</v>
      </c>
      <c r="CV18" s="112" t="s">
        <v>546</v>
      </c>
      <c r="CW18" s="106"/>
      <c r="CX18" s="106">
        <f t="shared" si="1"/>
        <v>38</v>
      </c>
    </row>
    <row r="19" ht="24" customHeight="1" spans="3:102">
      <c r="C19" s="62" t="str">
        <f t="shared" si="2"/>
        <v>1012:4;1011:4;4001:2;4004:2;4005:2;4007:2</v>
      </c>
      <c r="D19" s="62" t="str">
        <f>VLOOKUP(O19,'!无用'!$B$4:$D$7,3)&amp;IF(O19=0,AL19,)&amp;IF(O19=1,AM19,)&amp;IF(O19=2,AN19,)&amp;IF(O19=3,AO19,)&amp;";"&amp;VLOOKUP(P19,'!无用'!$B$8:$D$9,3)&amp;IF(P19=1,1,)&amp;IF(P19=0,AP19,)&amp;IF(Q19=3,,";"&amp;VLOOKUP(Q19,'!无用'!$B$10:$D$13,3))</f>
        <v>gold:101;customer:1</v>
      </c>
      <c r="E19" s="63" t="str">
        <f t="shared" si="3"/>
        <v>wt:2;stp:4;wait:8</v>
      </c>
      <c r="F19" s="64" t="str">
        <f t="shared" si="4"/>
        <v>gold:100;maxdemand:2</v>
      </c>
      <c r="G19" s="65" t="str">
        <f t="shared" si="5"/>
        <v>2002:3;2003:3;2001:3;2004:2</v>
      </c>
      <c r="H19" s="66" t="str">
        <f t="shared" si="6"/>
        <v>1000:3;1003:3;1005:3;1002:2;1004:2;1001:2</v>
      </c>
      <c r="I19" s="77" t="str">
        <f>VLOOKUP(O19,'!无用'!$B$4:$C$7,2)&amp;"、"&amp;VLOOKUP(P19,'!无用'!$B$8:$C$9,2)&amp;"、"&amp;VLOOKUP(Q19,'!无用'!$B$10:$C$13,2)</f>
        <v>金币、人数、无</v>
      </c>
      <c r="J19" s="77"/>
      <c r="K19" s="75">
        <v>15</v>
      </c>
      <c r="L19" s="38">
        <v>1</v>
      </c>
      <c r="M19" s="38">
        <v>0</v>
      </c>
      <c r="N19" s="38">
        <v>0</v>
      </c>
      <c r="O19" s="76">
        <v>0</v>
      </c>
      <c r="P19" s="76">
        <v>1</v>
      </c>
      <c r="Q19" s="76">
        <v>3</v>
      </c>
      <c r="R19" s="13"/>
      <c r="S19" s="38">
        <v>3</v>
      </c>
      <c r="T19" s="38">
        <v>3</v>
      </c>
      <c r="U19" s="38">
        <v>3</v>
      </c>
      <c r="V19" s="38">
        <v>2</v>
      </c>
      <c r="W19" s="38"/>
      <c r="X19" s="38">
        <v>3</v>
      </c>
      <c r="Y19" s="38">
        <v>3</v>
      </c>
      <c r="Z19" s="38">
        <v>3</v>
      </c>
      <c r="AA19" s="38">
        <v>2</v>
      </c>
      <c r="AB19" s="38">
        <v>2</v>
      </c>
      <c r="AC19" s="38">
        <v>2</v>
      </c>
      <c r="AD19" s="89">
        <v>4</v>
      </c>
      <c r="AE19" s="89">
        <v>4</v>
      </c>
      <c r="AF19" s="89">
        <v>2</v>
      </c>
      <c r="AG19" s="89">
        <v>2</v>
      </c>
      <c r="AH19" s="89">
        <v>2</v>
      </c>
      <c r="AI19" s="89">
        <v>2</v>
      </c>
      <c r="AJ19" s="89"/>
      <c r="AK19" s="89"/>
      <c r="AL19" s="89">
        <v>101</v>
      </c>
      <c r="AM19" s="89"/>
      <c r="AN19" s="89"/>
      <c r="AO19" s="89"/>
      <c r="AP19" s="89"/>
      <c r="AQ19" s="95">
        <v>100</v>
      </c>
      <c r="AR19" s="96">
        <v>2</v>
      </c>
      <c r="AS19" s="89"/>
      <c r="AT19" s="95"/>
      <c r="AU19" s="97">
        <v>4</v>
      </c>
      <c r="AV19" s="97">
        <v>8</v>
      </c>
      <c r="AW19" s="105" t="s">
        <v>547</v>
      </c>
      <c r="AX19" s="106"/>
      <c r="AY19" s="106">
        <f t="shared" si="7"/>
        <v>40</v>
      </c>
      <c r="BB19" s="62" t="str">
        <f>$AD$3&amp;IF(ISBLANK(CC19),0,CC19)&amp;";"&amp;$AE$3&amp;IF(ISBLANK(CD19),0,CD19)&amp;";"&amp;$AF$3&amp;IF(ISBLANK(CE19),0,CE19)&amp;";"&amp;$AG$3&amp;IF(ISBLANK(CF19),0,CF19)&amp;";"&amp;$AH$3&amp;IF(ISBLANK(CG19),0,CG19)&amp;";"&amp;$AI$3&amp;IF(ISBLANK(CH19),0,CH19)</f>
        <v>1012:4;1011:4;4001:4;4004:2;4005:2;4007:2</v>
      </c>
      <c r="BC19" s="62" t="str">
        <f>VLOOKUP(BN19,'!无用'!$B$4:$D$7,3)&amp;IF(BN19=0,CK19,)&amp;IF(BN19=1,CL19,)&amp;IF(BN19=2,CM19,)&amp;IF(BN19=3,CN19,)&amp;";"&amp;VLOOKUP(BO19,'!无用'!$B$8:$D$9,3)&amp;IF(BO19=1,1,)&amp;IF(BO19=0,CO19,)&amp;IF(BP19=3,,";"&amp;VLOOKUP(BP19,'!无用'!$B$10:$D$13,3))</f>
        <v>praise:16;time:100</v>
      </c>
      <c r="BD19" s="63" t="str">
        <f t="shared" si="0"/>
        <v>wt:2;stp:4;wait:6</v>
      </c>
      <c r="BE19" s="64" t="str">
        <f t="shared" si="8"/>
        <v>gold:240;maxdemand:2</v>
      </c>
      <c r="BF19" s="65" t="str">
        <f t="shared" si="9"/>
        <v>2002:3;2003:3;2001:3;2004:2</v>
      </c>
      <c r="BG19" s="66" t="str">
        <f t="shared" si="10"/>
        <v>1000:3;1003:3;1005:3;1002:3;1004:3;1001:3</v>
      </c>
      <c r="BH19" s="77" t="str">
        <f>VLOOKUP(BN19,'!无用'!$B$4:$C$7,2)&amp;"、"&amp;VLOOKUP(BO19,'!无用'!$B$8:$C$9,2)&amp;"、"&amp;VLOOKUP(BP19,'!无用'!$B$10:$C$13,2)</f>
        <v>点赞、时间、无</v>
      </c>
      <c r="BI19" s="77"/>
      <c r="BJ19" s="75">
        <v>15</v>
      </c>
      <c r="BK19" s="38">
        <v>2</v>
      </c>
      <c r="BL19" s="38">
        <v>0</v>
      </c>
      <c r="BM19" s="38">
        <v>0</v>
      </c>
      <c r="BN19" s="109">
        <v>1</v>
      </c>
      <c r="BO19" s="109">
        <v>0</v>
      </c>
      <c r="BP19" s="109">
        <v>3</v>
      </c>
      <c r="BQ19" s="13"/>
      <c r="BR19" s="38">
        <v>3</v>
      </c>
      <c r="BS19" s="38">
        <v>3</v>
      </c>
      <c r="BT19" s="38">
        <v>3</v>
      </c>
      <c r="BU19" s="38">
        <v>2</v>
      </c>
      <c r="BV19" s="38"/>
      <c r="BW19" s="38">
        <v>3</v>
      </c>
      <c r="BX19" s="38">
        <v>3</v>
      </c>
      <c r="BY19" s="38">
        <v>3</v>
      </c>
      <c r="BZ19" s="38">
        <v>3</v>
      </c>
      <c r="CA19" s="38">
        <v>3</v>
      </c>
      <c r="CB19" s="38">
        <v>3</v>
      </c>
      <c r="CC19" s="89">
        <v>4</v>
      </c>
      <c r="CD19" s="89">
        <v>4</v>
      </c>
      <c r="CE19" s="89">
        <v>4</v>
      </c>
      <c r="CF19" s="89">
        <v>2</v>
      </c>
      <c r="CG19" s="89">
        <v>2</v>
      </c>
      <c r="CH19" s="89">
        <v>2</v>
      </c>
      <c r="CI19" s="89"/>
      <c r="CJ19" s="89"/>
      <c r="CK19" s="89"/>
      <c r="CL19" s="89">
        <v>16</v>
      </c>
      <c r="CM19" s="89"/>
      <c r="CN19" s="89"/>
      <c r="CO19" s="89">
        <v>100</v>
      </c>
      <c r="CP19" s="95">
        <v>240</v>
      </c>
      <c r="CQ19" s="96">
        <v>2</v>
      </c>
      <c r="CR19" s="89"/>
      <c r="CS19" s="95"/>
      <c r="CT19" s="97">
        <v>4</v>
      </c>
      <c r="CU19" s="97">
        <v>6</v>
      </c>
      <c r="CV19" s="112" t="s">
        <v>548</v>
      </c>
      <c r="CW19" s="106"/>
      <c r="CX19" s="106">
        <f t="shared" si="1"/>
        <v>38</v>
      </c>
    </row>
    <row r="20" ht="24" customHeight="1" spans="6:101">
      <c r="F20" s="64"/>
      <c r="G20" s="67"/>
      <c r="H20" s="68"/>
      <c r="I20" s="79"/>
      <c r="J20" s="80"/>
      <c r="AQ20">
        <f>SUM(AQ5:AQ19)</f>
        <v>1045</v>
      </c>
      <c r="AS20">
        <f>SUM(AS5:AS19)</f>
        <v>1291</v>
      </c>
      <c r="AU20">
        <f>SUM(AQ20:AS20)</f>
        <v>2336</v>
      </c>
      <c r="AZ20" t="s">
        <v>549</v>
      </c>
      <c r="CP20">
        <f>SUM(CP5:CP19)</f>
        <v>1785</v>
      </c>
      <c r="CR20">
        <f>SUM(CR5:CR19)</f>
        <v>530</v>
      </c>
      <c r="CT20">
        <f>SUM(CP20:CR20)</f>
        <v>2315</v>
      </c>
      <c r="CW20" s="51"/>
    </row>
    <row r="21" ht="15" spans="2:53">
      <c r="B21" s="58" t="s">
        <v>478</v>
      </c>
      <c r="C21" s="58"/>
      <c r="D21" s="59" t="s">
        <v>479</v>
      </c>
      <c r="E21" s="59" t="s">
        <v>480</v>
      </c>
      <c r="F21" s="59" t="s">
        <v>481</v>
      </c>
      <c r="G21" s="59" t="s">
        <v>169</v>
      </c>
      <c r="H21" s="60" t="s">
        <v>482</v>
      </c>
      <c r="I21" s="58" t="s">
        <v>483</v>
      </c>
      <c r="J21" s="58"/>
      <c r="K21" s="69" t="s">
        <v>1</v>
      </c>
      <c r="L21" s="69" t="s">
        <v>484</v>
      </c>
      <c r="M21" s="70" t="s">
        <v>485</v>
      </c>
      <c r="N21" s="69" t="s">
        <v>486</v>
      </c>
      <c r="O21" s="69" t="s">
        <v>487</v>
      </c>
      <c r="P21" s="69" t="s">
        <v>488</v>
      </c>
      <c r="Q21" s="69" t="s">
        <v>489</v>
      </c>
      <c r="R21" s="83"/>
      <c r="S21" s="69" t="s">
        <v>490</v>
      </c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82" t="s">
        <v>491</v>
      </c>
      <c r="AE21" s="82" t="s">
        <v>492</v>
      </c>
      <c r="AF21" s="82" t="s">
        <v>493</v>
      </c>
      <c r="AG21" s="82" t="s">
        <v>494</v>
      </c>
      <c r="AH21" s="82" t="s">
        <v>495</v>
      </c>
      <c r="AI21" s="82" t="s">
        <v>496</v>
      </c>
      <c r="AJ21" s="90" t="s">
        <v>497</v>
      </c>
      <c r="AK21" s="92"/>
      <c r="AL21" s="91" t="s">
        <v>550</v>
      </c>
      <c r="AM21" s="91"/>
      <c r="AN21" s="91"/>
      <c r="AO21" s="91"/>
      <c r="AP21" s="91"/>
      <c r="AQ21" s="90" t="s">
        <v>551</v>
      </c>
      <c r="AR21" s="91"/>
      <c r="AS21" s="91"/>
      <c r="AT21" s="92"/>
      <c r="AU21" s="92"/>
      <c r="AV21" s="92"/>
      <c r="AW21" s="107"/>
      <c r="AX21" s="82"/>
      <c r="AY21" s="82"/>
      <c r="BA21" t="s">
        <v>552</v>
      </c>
    </row>
    <row r="22" ht="32" customHeight="1" spans="2:62">
      <c r="B22" s="58"/>
      <c r="C22" s="58"/>
      <c r="D22" s="59"/>
      <c r="E22" s="59"/>
      <c r="F22" s="59"/>
      <c r="G22" s="59"/>
      <c r="H22" s="60"/>
      <c r="I22" s="58"/>
      <c r="J22" s="58"/>
      <c r="K22" s="69"/>
      <c r="L22" s="69"/>
      <c r="M22" s="71" t="s">
        <v>498</v>
      </c>
      <c r="N22" s="72" t="s">
        <v>499</v>
      </c>
      <c r="O22" s="73" t="s">
        <v>500</v>
      </c>
      <c r="P22" s="73" t="s">
        <v>501</v>
      </c>
      <c r="Q22" s="73" t="s">
        <v>502</v>
      </c>
      <c r="R22" s="84"/>
      <c r="S22" s="85" t="s">
        <v>503</v>
      </c>
      <c r="T22" s="85" t="s">
        <v>439</v>
      </c>
      <c r="U22" s="85" t="s">
        <v>437</v>
      </c>
      <c r="V22" s="85" t="s">
        <v>440</v>
      </c>
      <c r="W22" s="86"/>
      <c r="X22" s="86" t="s">
        <v>445</v>
      </c>
      <c r="Y22" s="86" t="s">
        <v>446</v>
      </c>
      <c r="Z22" s="86" t="s">
        <v>447</v>
      </c>
      <c r="AA22" s="86" t="s">
        <v>448</v>
      </c>
      <c r="AB22" s="86" t="s">
        <v>449</v>
      </c>
      <c r="AC22" s="86" t="s">
        <v>450</v>
      </c>
      <c r="AD22" s="82"/>
      <c r="AE22" s="82"/>
      <c r="AF22" s="82"/>
      <c r="AG22" s="82"/>
      <c r="AH22" s="82"/>
      <c r="AI22" s="82"/>
      <c r="AJ22" s="82" t="s">
        <v>504</v>
      </c>
      <c r="AK22" s="82" t="s">
        <v>505</v>
      </c>
      <c r="AL22" s="82" t="s">
        <v>506</v>
      </c>
      <c r="AM22" s="82" t="s">
        <v>507</v>
      </c>
      <c r="AN22" s="82" t="s">
        <v>508</v>
      </c>
      <c r="AO22" s="82" t="s">
        <v>509</v>
      </c>
      <c r="AP22" s="82" t="s">
        <v>510</v>
      </c>
      <c r="AQ22" s="82" t="s">
        <v>511</v>
      </c>
      <c r="AR22" s="82" t="s">
        <v>512</v>
      </c>
      <c r="AS22" s="82" t="s">
        <v>513</v>
      </c>
      <c r="AT22" s="82" t="s">
        <v>514</v>
      </c>
      <c r="AU22" s="82" t="s">
        <v>515</v>
      </c>
      <c r="AV22" s="82" t="s">
        <v>516</v>
      </c>
      <c r="AW22" s="103" t="s">
        <v>517</v>
      </c>
      <c r="AX22" s="99" t="s">
        <v>465</v>
      </c>
      <c r="AY22" s="99" t="s">
        <v>518</v>
      </c>
      <c r="BA22">
        <v>8100</v>
      </c>
      <c r="BI22" t="s">
        <v>553</v>
      </c>
      <c r="BJ22" t="s">
        <v>554</v>
      </c>
    </row>
    <row r="23" ht="16.5" customHeight="1" spans="3:62">
      <c r="C23" s="62" t="str">
        <f>$AD$3&amp;IF(ISBLANK(AD23),0,AD23)&amp;";"&amp;$AE$3&amp;IF(ISBLANK(AE23),0,AE23)&amp;";"&amp;$AF$3&amp;IF(ISBLANK(AF23),0,AF23)&amp;";"&amp;$AG$3&amp;IF(ISBLANK(AG23),0,AG23)&amp;";"&amp;$AH$3&amp;IF(ISBLANK(AH23),0,AH23)&amp;";"&amp;$AI$3&amp;IF(ISBLANK(AI23),0,AI23)</f>
        <v>1012:1;1011:0;4001:2;4004:0;4005:0;4007:0</v>
      </c>
      <c r="D23" s="62" t="str">
        <f>VLOOKUP(O23,'!无用'!$B$4:$D$7,3)&amp;IF(O23=0,AL23,)&amp;IF(O23=1,AM23,)&amp;IF(O23=2,AN23,)&amp;IF(O23=3,AO23,)&amp;";"&amp;VLOOKUP(P23,'!无用'!$B$8:$D$9,3)&amp;IF(P23=1,1,)&amp;IF(P23=0,AP23,)&amp;IF(Q23=3,,";"&amp;VLOOKUP(Q23,'!无用'!$B$10:$D$13,3))</f>
        <v>gold:100;customer:1</v>
      </c>
      <c r="E23" s="63" t="str">
        <f t="shared" ref="E23:E37" si="11">"wt:2;stp:"&amp;AU23&amp;";wait:"&amp;AV23</f>
        <v>wt:2;stp:4;wait:8</v>
      </c>
      <c r="F23" s="64" t="str">
        <f>IF(ISBLANK(AT23),$AQ$1&amp;AQ23&amp;";",)&amp;$AR$1&amp;AR23&amp;IF(ISBLANK(AT23),,";"&amp;$AT$1&amp;AT23)</f>
        <v>gold:100;maxdemand:3</v>
      </c>
      <c r="G23" s="65" t="str">
        <f>$S$2&amp;IF(ISBLANK(S23),0,S23)&amp;";"&amp;$T$2&amp;IF(ISBLANK(T23),0,T23)&amp;";"&amp;$U$2&amp;IF(ISBLANK(U23),0,U23)&amp;";"&amp;$V$2&amp;IF(ISBLANK(V23),0,V23)</f>
        <v>2002:1;2003:1;2001:1;2004:0</v>
      </c>
      <c r="H23" s="66" t="str">
        <f>$X$2&amp;IF(ISBLANK(X23),0,X23)&amp;";"&amp;$Y$2&amp;IF(ISBLANK(Y23),0,Y23)&amp;";"&amp;$Z$2&amp;IF(ISBLANK(Z23),0,Z23)&amp;";"&amp;$AA$2&amp;IF(ISBLANK(AA23),0,AA23)&amp;";"&amp;$AB$2&amp;IF(ISBLANK(AB23),0,AB23)&amp;";"&amp;$AC$2&amp;IF(ISBLANK(AC23),0,AC23)</f>
        <v>1000:1;1003:1;1005:1;1002:0;1004:0;1001:0</v>
      </c>
      <c r="I23" s="74" t="str">
        <f>VLOOKUP(O23,'!无用'!$B$4:$C$7,2)&amp;"、"&amp;VLOOKUP(P23,'!无用'!$B$8:$C$9,2)&amp;"、"&amp;VLOOKUP(Q23,'!无用'!$B$10:$C$13,2)</f>
        <v>金币、人数、无</v>
      </c>
      <c r="J23" s="74"/>
      <c r="K23" s="75">
        <v>1</v>
      </c>
      <c r="L23" s="38">
        <v>3</v>
      </c>
      <c r="M23" s="38">
        <v>0</v>
      </c>
      <c r="N23" s="38">
        <v>0</v>
      </c>
      <c r="O23" s="81">
        <v>0</v>
      </c>
      <c r="P23" s="81">
        <v>1</v>
      </c>
      <c r="Q23" s="81">
        <v>3</v>
      </c>
      <c r="R23" s="13"/>
      <c r="S23" s="38">
        <v>1</v>
      </c>
      <c r="T23" s="38">
        <v>1</v>
      </c>
      <c r="U23" s="38">
        <v>1</v>
      </c>
      <c r="V23" s="38"/>
      <c r="W23" s="38"/>
      <c r="X23" s="38">
        <v>1</v>
      </c>
      <c r="Y23" s="38">
        <v>1</v>
      </c>
      <c r="Z23" s="38">
        <v>1</v>
      </c>
      <c r="AA23" s="38"/>
      <c r="AB23" s="38"/>
      <c r="AC23" s="38"/>
      <c r="AD23" s="89">
        <v>1</v>
      </c>
      <c r="AE23" s="89"/>
      <c r="AF23" s="89">
        <v>2</v>
      </c>
      <c r="AG23" s="89"/>
      <c r="AH23" s="89"/>
      <c r="AI23" s="89"/>
      <c r="AJ23" s="89"/>
      <c r="AK23" s="89"/>
      <c r="AL23" s="89">
        <v>100</v>
      </c>
      <c r="AM23" s="89"/>
      <c r="AN23" s="89"/>
      <c r="AO23" s="89"/>
      <c r="AP23" s="89"/>
      <c r="AQ23" s="95">
        <v>100</v>
      </c>
      <c r="AR23" s="98">
        <v>3</v>
      </c>
      <c r="AS23" s="89"/>
      <c r="AT23" s="95"/>
      <c r="AU23" s="97">
        <v>4</v>
      </c>
      <c r="AV23" s="97">
        <v>8</v>
      </c>
      <c r="AW23" s="108" t="s">
        <v>520</v>
      </c>
      <c r="AX23" s="106"/>
      <c r="AY23" s="106">
        <f t="shared" ref="AY23:AY37" si="12">32+AV23</f>
        <v>40</v>
      </c>
      <c r="BA23" t="s">
        <v>555</v>
      </c>
      <c r="BI23">
        <f>BA22*BJ23</f>
        <v>2430</v>
      </c>
      <c r="BJ23">
        <v>0.3</v>
      </c>
    </row>
    <row r="24" ht="16.5" customHeight="1" spans="3:62">
      <c r="C24" s="62" t="str">
        <f>$AD$3&amp;IF(ISBLANK(AD24),0,AD24)&amp;";"&amp;$AE$3&amp;IF(ISBLANK(AE24),0,AE24)&amp;";"&amp;$AF$3&amp;IF(ISBLANK(AF24),0,AF24)&amp;";"&amp;$AG$3&amp;IF(ISBLANK(AG24),0,AG24)&amp;";"&amp;$AH$3&amp;IF(ISBLANK(AH24),0,AH24)&amp;";"&amp;$AI$3&amp;IF(ISBLANK(AI24),0,AI24)</f>
        <v>1012:1;1011:0;4001:2;4004:0;4005:0;4007:0</v>
      </c>
      <c r="D24" s="62" t="str">
        <f>VLOOKUP(O24,'!无用'!$B$4:$D$7,3)&amp;IF(O24=0,AL24,)&amp;IF(O24=1,AM24,)&amp;IF(O24=2,AN24,)&amp;IF(O24=3,AO24,)&amp;";"&amp;VLOOKUP(P24,'!无用'!$B$8:$D$9,3)&amp;IF(P24=1,1,)&amp;IF(P24=0,AP24,)&amp;IF(Q24=3,,";"&amp;VLOOKUP(Q24,'!无用'!$B$10:$D$13,3))</f>
        <v>dish:13;customer:1</v>
      </c>
      <c r="E24" s="63" t="str">
        <f t="shared" si="11"/>
        <v>wt:2;stp:4;wait:8</v>
      </c>
      <c r="F24" s="64" t="str">
        <f t="shared" ref="F24:F37" si="13">IF(ISBLANK(AT24),$AQ$1&amp;AQ24&amp;";",)&amp;$AR$1&amp;AR24&amp;IF(ISBLANK(AT24),,";"&amp;$AT$1&amp;AT24)</f>
        <v>maxdemand:3;foodcount:13</v>
      </c>
      <c r="G24" s="65" t="str">
        <f t="shared" ref="G20:G29" si="14">$S$2&amp;IF(ISBLANK(S24),0,S24)&amp;";"&amp;$T$2&amp;IF(ISBLANK(T24),0,T24)&amp;";"&amp;$U$2&amp;IF(ISBLANK(U24),0,U24)&amp;";"&amp;$V$2&amp;IF(ISBLANK(V24),0,V24)</f>
        <v>2002:1;2003:1;2001:1;2004:0</v>
      </c>
      <c r="H24" s="66" t="str">
        <f t="shared" ref="H20:H29" si="15">$X$2&amp;IF(ISBLANK(X24),0,X24)&amp;";"&amp;$Y$2&amp;IF(ISBLANK(Y24),0,Y24)&amp;";"&amp;$Z$2&amp;IF(ISBLANK(Z24),0,Z24)&amp;";"&amp;$AA$2&amp;IF(ISBLANK(AA24),0,AA24)&amp;";"&amp;$AB$2&amp;IF(ISBLANK(AB24),0,AB24)&amp;";"&amp;$AC$2&amp;IF(ISBLANK(AC24),0,AC24)</f>
        <v>1000:1;1003:1;1005:1;1002:0;1004:0;1001:0</v>
      </c>
      <c r="I24" s="77" t="str">
        <f>VLOOKUP(O24,'!无用'!$B$4:$C$7,2)&amp;"、"&amp;VLOOKUP(P24,'!无用'!$B$8:$C$9,2)&amp;"、"&amp;VLOOKUP(Q24,'!无用'!$B$10:$C$13,2)</f>
        <v>上菜、人数、无</v>
      </c>
      <c r="J24" s="77"/>
      <c r="K24" s="75">
        <v>2</v>
      </c>
      <c r="L24" s="38">
        <v>3</v>
      </c>
      <c r="M24" s="38">
        <v>0</v>
      </c>
      <c r="N24" s="38">
        <v>0</v>
      </c>
      <c r="O24" s="81">
        <v>3</v>
      </c>
      <c r="P24" s="81">
        <v>1</v>
      </c>
      <c r="Q24" s="81">
        <v>3</v>
      </c>
      <c r="R24" s="13"/>
      <c r="S24" s="38">
        <v>1</v>
      </c>
      <c r="T24" s="38">
        <v>1</v>
      </c>
      <c r="U24" s="38">
        <v>1</v>
      </c>
      <c r="V24" s="38"/>
      <c r="W24" s="38"/>
      <c r="X24" s="38">
        <v>1</v>
      </c>
      <c r="Y24" s="38">
        <v>1</v>
      </c>
      <c r="Z24" s="38">
        <v>1</v>
      </c>
      <c r="AA24" s="38"/>
      <c r="AB24" s="38"/>
      <c r="AC24" s="38"/>
      <c r="AD24" s="89">
        <v>1</v>
      </c>
      <c r="AE24" s="89"/>
      <c r="AF24" s="89">
        <v>2</v>
      </c>
      <c r="AG24" s="89"/>
      <c r="AH24" s="89"/>
      <c r="AI24" s="89"/>
      <c r="AJ24" s="89"/>
      <c r="AK24" s="89"/>
      <c r="AL24" s="89"/>
      <c r="AM24" s="89"/>
      <c r="AN24" s="89"/>
      <c r="AO24" s="89">
        <v>13</v>
      </c>
      <c r="AP24" s="89"/>
      <c r="AQ24" s="95"/>
      <c r="AR24" s="98">
        <v>3</v>
      </c>
      <c r="AS24" s="89">
        <v>130</v>
      </c>
      <c r="AT24" s="95">
        <v>13</v>
      </c>
      <c r="AU24" s="97">
        <v>4</v>
      </c>
      <c r="AV24" s="97">
        <v>8</v>
      </c>
      <c r="AW24" s="108" t="s">
        <v>520</v>
      </c>
      <c r="AX24" s="106"/>
      <c r="AY24" s="106">
        <f t="shared" si="12"/>
        <v>40</v>
      </c>
      <c r="BA24" t="s">
        <v>556</v>
      </c>
      <c r="BI24">
        <f>BA22*BJ24</f>
        <v>3240</v>
      </c>
      <c r="BJ24">
        <v>0.4</v>
      </c>
    </row>
    <row r="25" ht="16.5" customHeight="1" spans="3:62">
      <c r="C25" s="62" t="str">
        <f>$AD$3&amp;IF(ISBLANK(AD25),0,AD25)&amp;";"&amp;$AE$3&amp;IF(ISBLANK(AE25),0,AE25)&amp;";"&amp;$AF$3&amp;IF(ISBLANK(AF25),0,AF25)&amp;";"&amp;$AG$3&amp;IF(ISBLANK(AG25),0,AG25)&amp;";"&amp;$AH$3&amp;IF(ISBLANK(AH25),0,AH25)&amp;";"&amp;$AI$3&amp;IF(ISBLANK(AI25),0,AI25)</f>
        <v>1012:1;1011:0;4001:2;4004:0;4005:0;4007:0</v>
      </c>
      <c r="D25" s="62" t="str">
        <f>VLOOKUP(O25,'!无用'!$B$4:$D$7,3)&amp;IF(O25=0,AL25,)&amp;IF(O25=1,AM25,)&amp;IF(O25=2,AN25,)&amp;IF(O25=3,AO25,)&amp;";"&amp;VLOOKUP(P25,'!无用'!$B$8:$D$9,3)&amp;IF(P25=1,1,)&amp;IF(P25=0,AP25,)&amp;IF(Q25=3,,";"&amp;VLOOKUP(Q25,'!无用'!$B$10:$D$13,3))</f>
        <v>gold:150;time:120</v>
      </c>
      <c r="E25" s="63" t="str">
        <f t="shared" si="11"/>
        <v>wt:2;stp:4;wait:8</v>
      </c>
      <c r="F25" s="64" t="str">
        <f t="shared" si="13"/>
        <v>gold:140;maxdemand:3</v>
      </c>
      <c r="G25" s="65" t="str">
        <f t="shared" si="14"/>
        <v>2002:2;2003:2;2001:1;2004:0</v>
      </c>
      <c r="H25" s="66" t="str">
        <f t="shared" si="15"/>
        <v>1000:1;1003:1;1005:1;1002:0;1004:0;1001:0</v>
      </c>
      <c r="I25" s="77" t="str">
        <f>VLOOKUP(O25,'!无用'!$B$4:$C$7,2)&amp;"、"&amp;VLOOKUP(P25,'!无用'!$B$8:$C$9,2)&amp;"、"&amp;VLOOKUP(Q25,'!无用'!$B$10:$C$13,2)</f>
        <v>金币、时间、无</v>
      </c>
      <c r="J25" s="77"/>
      <c r="K25" s="75">
        <v>3</v>
      </c>
      <c r="L25" s="38">
        <v>3</v>
      </c>
      <c r="M25" s="38">
        <v>0</v>
      </c>
      <c r="N25" s="38">
        <v>0</v>
      </c>
      <c r="O25" s="81">
        <v>0</v>
      </c>
      <c r="P25" s="81">
        <v>0</v>
      </c>
      <c r="Q25" s="81">
        <v>3</v>
      </c>
      <c r="R25" s="13"/>
      <c r="S25" s="38">
        <v>2</v>
      </c>
      <c r="T25" s="38">
        <v>2</v>
      </c>
      <c r="U25" s="38">
        <v>1</v>
      </c>
      <c r="V25" s="38"/>
      <c r="W25" s="38"/>
      <c r="X25" s="38">
        <v>1</v>
      </c>
      <c r="Y25" s="38">
        <v>1</v>
      </c>
      <c r="Z25" s="38">
        <v>1</v>
      </c>
      <c r="AA25" s="38"/>
      <c r="AB25" s="38"/>
      <c r="AC25" s="38"/>
      <c r="AD25" s="89">
        <v>1</v>
      </c>
      <c r="AE25" s="89"/>
      <c r="AF25" s="89">
        <v>2</v>
      </c>
      <c r="AG25" s="89"/>
      <c r="AH25" s="89"/>
      <c r="AI25" s="89"/>
      <c r="AJ25" s="89"/>
      <c r="AK25" s="89"/>
      <c r="AL25" s="89">
        <v>150</v>
      </c>
      <c r="AM25" s="89"/>
      <c r="AN25" s="89"/>
      <c r="AO25" s="89"/>
      <c r="AP25" s="89">
        <v>120</v>
      </c>
      <c r="AQ25" s="95">
        <v>140</v>
      </c>
      <c r="AR25" s="98">
        <v>3</v>
      </c>
      <c r="AS25" s="89"/>
      <c r="AT25" s="95"/>
      <c r="AU25" s="97">
        <v>4</v>
      </c>
      <c r="AV25" s="97">
        <v>8</v>
      </c>
      <c r="AW25" s="108" t="s">
        <v>520</v>
      </c>
      <c r="AX25" s="106"/>
      <c r="AY25" s="106">
        <f t="shared" si="12"/>
        <v>40</v>
      </c>
      <c r="BA25" t="s">
        <v>557</v>
      </c>
      <c r="BI25">
        <f>BA22*BJ25</f>
        <v>2430</v>
      </c>
      <c r="BJ25">
        <v>0.3</v>
      </c>
    </row>
    <row r="26" ht="16.5" customHeight="1" spans="3:51">
      <c r="C26" s="62" t="str">
        <f>$AD$3&amp;IF(ISBLANK(AD26),0,AD26)&amp;";"&amp;$AE$3&amp;IF(ISBLANK(AE26),0,AE26)&amp;";"&amp;$AF$3&amp;IF(ISBLANK(AF26),0,AF26)&amp;";"&amp;$AG$3&amp;IF(ISBLANK(AG26),0,AG26)&amp;";"&amp;$AH$3&amp;IF(ISBLANK(AH26),0,AH26)&amp;";"&amp;$AI$3&amp;IF(ISBLANK(AI26),0,AI26)</f>
        <v>1012:2;1011:0;4001:3;4004:0;4005:2;4007:0</v>
      </c>
      <c r="D26" s="62" t="str">
        <f>VLOOKUP(O26,'!无用'!$B$4:$D$7,3)&amp;IF(O26=0,AL26,)&amp;IF(O26=1,AM26,)&amp;IF(O26=2,AN26,)&amp;IF(O26=3,AO26,)&amp;";"&amp;VLOOKUP(P26,'!无用'!$B$8:$D$9,3)&amp;IF(P26=1,1,)&amp;IF(P26=0,AP26,)&amp;IF(Q26=3,,";"&amp;VLOOKUP(Q26,'!无用'!$B$10:$D$13,3))</f>
        <v>role:13;customer:1</v>
      </c>
      <c r="E26" s="63" t="str">
        <f t="shared" si="11"/>
        <v>wt:2;stp:4;wait:8</v>
      </c>
      <c r="F26" s="64" t="str">
        <f t="shared" si="13"/>
        <v>maxdemand:3;foodcount:28</v>
      </c>
      <c r="G26" s="65" t="str">
        <f t="shared" si="14"/>
        <v>2002:2;2003:2;2001:1;2004:0</v>
      </c>
      <c r="H26" s="66" t="str">
        <f t="shared" si="15"/>
        <v>1000:1;1003:2;1005:1;1002:1;1004:0;1001:0</v>
      </c>
      <c r="I26" s="77" t="str">
        <f>VLOOKUP(O26,'!无用'!$B$4:$C$7,2)&amp;"、"&amp;VLOOKUP(P26,'!无用'!$B$8:$C$9,2)&amp;"、"&amp;VLOOKUP(Q26,'!无用'!$B$10:$C$13,2)</f>
        <v>顾客、人数、无</v>
      </c>
      <c r="J26" s="77"/>
      <c r="K26" s="75">
        <v>4</v>
      </c>
      <c r="L26" s="38">
        <v>3</v>
      </c>
      <c r="M26" s="38">
        <v>0</v>
      </c>
      <c r="N26" s="38">
        <v>0</v>
      </c>
      <c r="O26" s="81">
        <v>2</v>
      </c>
      <c r="P26" s="81">
        <v>1</v>
      </c>
      <c r="Q26" s="81">
        <v>3</v>
      </c>
      <c r="R26" s="13"/>
      <c r="S26" s="38">
        <v>2</v>
      </c>
      <c r="T26" s="38">
        <v>2</v>
      </c>
      <c r="U26" s="38">
        <v>1</v>
      </c>
      <c r="V26" s="38"/>
      <c r="W26" s="38"/>
      <c r="X26" s="38">
        <v>1</v>
      </c>
      <c r="Y26" s="38">
        <v>2</v>
      </c>
      <c r="Z26" s="38">
        <v>1</v>
      </c>
      <c r="AA26" s="38">
        <v>1</v>
      </c>
      <c r="AB26" s="38"/>
      <c r="AC26" s="38"/>
      <c r="AD26" s="89">
        <v>2</v>
      </c>
      <c r="AE26" s="89"/>
      <c r="AF26" s="89">
        <v>3</v>
      </c>
      <c r="AG26" s="89"/>
      <c r="AH26" s="89">
        <v>2</v>
      </c>
      <c r="AI26" s="89"/>
      <c r="AJ26" s="89"/>
      <c r="AK26" s="89">
        <v>500</v>
      </c>
      <c r="AL26" s="89"/>
      <c r="AM26" s="89"/>
      <c r="AN26" s="89">
        <v>13</v>
      </c>
      <c r="AO26" s="89"/>
      <c r="AP26" s="89"/>
      <c r="AQ26" s="95"/>
      <c r="AR26" s="98">
        <v>3</v>
      </c>
      <c r="AS26" s="89">
        <v>160</v>
      </c>
      <c r="AT26" s="95">
        <v>28</v>
      </c>
      <c r="AU26" s="97">
        <v>4</v>
      </c>
      <c r="AV26" s="97">
        <v>8</v>
      </c>
      <c r="AW26" s="108" t="s">
        <v>558</v>
      </c>
      <c r="AX26" s="106"/>
      <c r="AY26" s="106">
        <f t="shared" si="12"/>
        <v>40</v>
      </c>
    </row>
    <row r="27" ht="16.5" customHeight="1" spans="3:61">
      <c r="C27" s="62" t="str">
        <f>$AD$3&amp;IF(ISBLANK(AD27),0,AD27)&amp;";"&amp;$AE$3&amp;IF(ISBLANK(AE27),0,AE27)&amp;";"&amp;$AF$3&amp;IF(ISBLANK(AF27),0,AF27)&amp;";"&amp;$AG$3&amp;IF(ISBLANK(AG27),0,AG27)&amp;";"&amp;$AH$3&amp;IF(ISBLANK(AH27),0,AH27)&amp;";"&amp;$AI$3&amp;IF(ISBLANK(AI27),0,AI27)</f>
        <v>1012:3;1011:0;4001:3;4004:0;4005:2;4007:0</v>
      </c>
      <c r="D27" s="62" t="str">
        <f>VLOOKUP(O27,'!无用'!$B$4:$D$7,3)&amp;IF(O27=0,AL27,)&amp;IF(O27=1,AM27,)&amp;IF(O27=2,AN27,)&amp;IF(O27=3,AO27,)&amp;";"&amp;VLOOKUP(P27,'!无用'!$B$8:$D$9,3)&amp;IF(P27=1,1,)&amp;IF(P27=0,AP27,)&amp;IF(Q27=3,,";"&amp;VLOOKUP(Q27,'!无用'!$B$10:$D$13,3))</f>
        <v>praise:11;customer:1;wash:0</v>
      </c>
      <c r="E27" s="63" t="str">
        <f t="shared" si="11"/>
        <v>wt:2;stp:4;wait:8</v>
      </c>
      <c r="F27" s="64" t="str">
        <f t="shared" si="13"/>
        <v>maxdemand:3;foodcount:31</v>
      </c>
      <c r="G27" s="65" t="str">
        <f t="shared" si="14"/>
        <v>2002:2;2003:2;2001:1;2004:0</v>
      </c>
      <c r="H27" s="66" t="str">
        <f t="shared" si="15"/>
        <v>1000:1;1003:2;1005:1;1002:1;1004:0;1001:0</v>
      </c>
      <c r="I27" s="77" t="str">
        <f>VLOOKUP(O27,'!无用'!$B$4:$C$7,2)&amp;"、"&amp;VLOOKUP(P27,'!无用'!$B$8:$C$9,2)&amp;"、"&amp;VLOOKUP(Q27,'!无用'!$B$10:$C$13,2)</f>
        <v>点赞、人数、浪费</v>
      </c>
      <c r="J27" s="77"/>
      <c r="K27" s="75">
        <v>5</v>
      </c>
      <c r="L27" s="38">
        <v>3</v>
      </c>
      <c r="M27" s="38">
        <v>0</v>
      </c>
      <c r="N27" s="38">
        <v>0</v>
      </c>
      <c r="O27" s="81">
        <v>1</v>
      </c>
      <c r="P27" s="81">
        <v>1</v>
      </c>
      <c r="Q27" s="81">
        <v>0</v>
      </c>
      <c r="R27" s="13"/>
      <c r="S27" s="38">
        <v>2</v>
      </c>
      <c r="T27" s="38">
        <v>2</v>
      </c>
      <c r="U27" s="38">
        <v>1</v>
      </c>
      <c r="V27" s="38"/>
      <c r="W27" s="38"/>
      <c r="X27" s="38">
        <v>1</v>
      </c>
      <c r="Y27" s="38">
        <v>2</v>
      </c>
      <c r="Z27" s="38">
        <v>1</v>
      </c>
      <c r="AA27" s="38">
        <v>1</v>
      </c>
      <c r="AB27" s="38"/>
      <c r="AC27" s="38"/>
      <c r="AD27" s="89">
        <v>3</v>
      </c>
      <c r="AE27" s="89"/>
      <c r="AF27" s="89">
        <v>3</v>
      </c>
      <c r="AG27" s="89"/>
      <c r="AH27" s="89">
        <v>2</v>
      </c>
      <c r="AI27" s="89"/>
      <c r="AJ27" s="89"/>
      <c r="AK27" s="89"/>
      <c r="AL27" s="89"/>
      <c r="AM27" s="89">
        <v>11</v>
      </c>
      <c r="AN27" s="89"/>
      <c r="AO27" s="89"/>
      <c r="AP27" s="89"/>
      <c r="AQ27" s="95"/>
      <c r="AR27" s="98">
        <v>3</v>
      </c>
      <c r="AS27" s="89">
        <v>170</v>
      </c>
      <c r="AT27" s="95">
        <v>31</v>
      </c>
      <c r="AU27" s="97">
        <v>4</v>
      </c>
      <c r="AV27" s="97">
        <v>8</v>
      </c>
      <c r="AW27" s="108" t="s">
        <v>559</v>
      </c>
      <c r="AX27" s="106"/>
      <c r="AY27" s="106">
        <f t="shared" si="12"/>
        <v>40</v>
      </c>
      <c r="BI27">
        <f>BI23+BI24+BI25</f>
        <v>8100</v>
      </c>
    </row>
    <row r="28" ht="16.5" customHeight="1" spans="3:51">
      <c r="C28" s="62" t="str">
        <f>$AD$3&amp;IF(ISBLANK(AD28),0,AD28)&amp;";"&amp;$AE$3&amp;IF(ISBLANK(AE28),0,AE28)&amp;";"&amp;$AF$3&amp;IF(ISBLANK(AF28),0,AF28)&amp;";"&amp;$AG$3&amp;IF(ISBLANK(AG28),0,AG28)&amp;";"&amp;$AH$3&amp;IF(ISBLANK(AH28),0,AH28)&amp;";"&amp;$AI$3&amp;IF(ISBLANK(AI28),0,AI28)</f>
        <v>1012:3;1011:0;4001:3;4004:2;4005:1;4007:1</v>
      </c>
      <c r="D28" s="62" t="str">
        <f>VLOOKUP(O28,'!无用'!$B$4:$D$7,3)&amp;IF(O28=0,AL28,)&amp;IF(O28=1,AM28,)&amp;IF(O28=2,AN28,)&amp;IF(O28=3,AO28,)&amp;";"&amp;VLOOKUP(P28,'!无用'!$B$8:$D$9,3)&amp;IF(P28=1,1,)&amp;IF(P28=0,AP28,)&amp;IF(Q28=3,,";"&amp;VLOOKUP(Q28,'!无用'!$B$10:$D$13,3))</f>
        <v>gold:110;time:120</v>
      </c>
      <c r="E28" s="63" t="str">
        <f t="shared" si="11"/>
        <v>wt:2;stp:4;wait:8</v>
      </c>
      <c r="F28" s="64" t="str">
        <f t="shared" si="13"/>
        <v>gold:100;maxdemand:3</v>
      </c>
      <c r="G28" s="65" t="str">
        <f t="shared" si="14"/>
        <v>2002:2;2003:2;2001:1;2004:0</v>
      </c>
      <c r="H28" s="66" t="str">
        <f t="shared" si="15"/>
        <v>1000:2;1003:2;1005:1;1002:1;1004:0;1001:1</v>
      </c>
      <c r="I28" s="77" t="str">
        <f>VLOOKUP(O28,'!无用'!$B$4:$C$7,2)&amp;"、"&amp;VLOOKUP(P28,'!无用'!$B$8:$C$9,2)&amp;"、"&amp;VLOOKUP(Q28,'!无用'!$B$10:$C$13,2)</f>
        <v>金币、时间、无</v>
      </c>
      <c r="J28" s="77"/>
      <c r="K28" s="75">
        <v>6</v>
      </c>
      <c r="L28" s="38">
        <v>3</v>
      </c>
      <c r="M28" s="38">
        <v>0</v>
      </c>
      <c r="N28" s="38">
        <v>0</v>
      </c>
      <c r="O28" s="81">
        <v>0</v>
      </c>
      <c r="P28" s="81">
        <v>0</v>
      </c>
      <c r="Q28" s="81">
        <v>3</v>
      </c>
      <c r="R28" s="13"/>
      <c r="S28" s="38">
        <v>2</v>
      </c>
      <c r="T28" s="38">
        <v>2</v>
      </c>
      <c r="U28" s="38">
        <v>1</v>
      </c>
      <c r="V28" s="38"/>
      <c r="W28" s="38"/>
      <c r="X28" s="38">
        <v>2</v>
      </c>
      <c r="Y28" s="38">
        <v>2</v>
      </c>
      <c r="Z28" s="38">
        <v>1</v>
      </c>
      <c r="AA28" s="38">
        <v>1</v>
      </c>
      <c r="AB28" s="38"/>
      <c r="AC28" s="38">
        <v>1</v>
      </c>
      <c r="AD28" s="89">
        <v>3</v>
      </c>
      <c r="AE28" s="89"/>
      <c r="AF28" s="89">
        <v>3</v>
      </c>
      <c r="AG28" s="89">
        <v>2</v>
      </c>
      <c r="AH28" s="89">
        <v>1</v>
      </c>
      <c r="AI28" s="89">
        <v>1</v>
      </c>
      <c r="AJ28" s="89"/>
      <c r="AK28" s="89">
        <v>500</v>
      </c>
      <c r="AL28" s="89">
        <v>110</v>
      </c>
      <c r="AM28" s="89"/>
      <c r="AN28" s="89"/>
      <c r="AO28" s="89"/>
      <c r="AP28" s="89">
        <v>120</v>
      </c>
      <c r="AQ28" s="95">
        <v>100</v>
      </c>
      <c r="AR28" s="98">
        <v>3</v>
      </c>
      <c r="AS28" s="89"/>
      <c r="AT28" s="95"/>
      <c r="AU28" s="97">
        <v>4</v>
      </c>
      <c r="AV28" s="97">
        <v>8</v>
      </c>
      <c r="AW28" s="108" t="s">
        <v>560</v>
      </c>
      <c r="AX28" s="106"/>
      <c r="AY28" s="106">
        <f t="shared" si="12"/>
        <v>40</v>
      </c>
    </row>
    <row r="29" ht="16.5" customHeight="1" spans="3:51">
      <c r="C29" s="62" t="str">
        <f>$AD$3&amp;IF(ISBLANK(AD29),0,AD29)&amp;";"&amp;$AE$3&amp;IF(ISBLANK(AE29),0,AE29)&amp;";"&amp;$AF$3&amp;IF(ISBLANK(AF29),0,AF29)&amp;";"&amp;$AG$3&amp;IF(ISBLANK(AG29),0,AG29)&amp;";"&amp;$AH$3&amp;IF(ISBLANK(AH29),0,AH29)&amp;";"&amp;$AI$3&amp;IF(ISBLANK(AI29),0,AI29)</f>
        <v>1012:3;1011:0;4001:3;4004:2;4005:2;4007:1</v>
      </c>
      <c r="D29" s="62" t="str">
        <f>VLOOKUP(O29,'!无用'!$B$4:$D$7,3)&amp;IF(O29=0,AL29,)&amp;IF(O29=1,AM29,)&amp;IF(O29=2,AN29,)&amp;IF(O29=3,AO29,)&amp;";"&amp;VLOOKUP(P29,'!无用'!$B$8:$D$9,3)&amp;IF(P29=1,1,)&amp;IF(P29=0,AP29,)&amp;IF(Q29=3,,";"&amp;VLOOKUP(Q29,'!无用'!$B$10:$D$13,3))</f>
        <v>dish:18;customer:1;go:0</v>
      </c>
      <c r="E29" s="63" t="str">
        <f t="shared" si="11"/>
        <v>wt:2;stp:4;wait:8</v>
      </c>
      <c r="F29" s="64" t="str">
        <f t="shared" si="13"/>
        <v>maxdemand:3;foodcount:18</v>
      </c>
      <c r="G29" s="65" t="str">
        <f t="shared" si="14"/>
        <v>2002:2;2003:2;2001:2;2004:0</v>
      </c>
      <c r="H29" s="66" t="str">
        <f t="shared" si="15"/>
        <v>1000:2;1003:3;1005:1;1002:1;1004:0;1001:1</v>
      </c>
      <c r="I29" s="77" t="str">
        <f>VLOOKUP(O29,'!无用'!$B$4:$C$7,2)&amp;"、"&amp;VLOOKUP(P29,'!无用'!$B$8:$C$9,2)&amp;"、"&amp;VLOOKUP(Q29,'!无用'!$B$10:$C$13,2)</f>
        <v>上菜、人数、流失</v>
      </c>
      <c r="J29" s="77"/>
      <c r="K29" s="75">
        <v>7</v>
      </c>
      <c r="L29" s="38">
        <v>3</v>
      </c>
      <c r="M29" s="38">
        <v>0</v>
      </c>
      <c r="N29" s="38">
        <v>0</v>
      </c>
      <c r="O29" s="81">
        <v>3</v>
      </c>
      <c r="P29" s="81">
        <v>1</v>
      </c>
      <c r="Q29" s="81">
        <v>1</v>
      </c>
      <c r="R29" s="13"/>
      <c r="S29" s="38">
        <v>2</v>
      </c>
      <c r="T29" s="38">
        <v>2</v>
      </c>
      <c r="U29" s="38">
        <v>2</v>
      </c>
      <c r="V29" s="38"/>
      <c r="W29" s="38"/>
      <c r="X29" s="38">
        <v>2</v>
      </c>
      <c r="Y29" s="38">
        <v>3</v>
      </c>
      <c r="Z29" s="38">
        <v>1</v>
      </c>
      <c r="AA29" s="38">
        <v>1</v>
      </c>
      <c r="AB29" s="38"/>
      <c r="AC29" s="38">
        <v>1</v>
      </c>
      <c r="AD29" s="89">
        <v>3</v>
      </c>
      <c r="AE29" s="89"/>
      <c r="AF29" s="89">
        <v>3</v>
      </c>
      <c r="AG29" s="89">
        <v>2</v>
      </c>
      <c r="AH29" s="89">
        <v>2</v>
      </c>
      <c r="AI29" s="89">
        <v>1</v>
      </c>
      <c r="AJ29" s="89"/>
      <c r="AK29" s="89">
        <v>1000</v>
      </c>
      <c r="AL29" s="89"/>
      <c r="AM29" s="89"/>
      <c r="AN29" s="89"/>
      <c r="AO29" s="89">
        <v>18</v>
      </c>
      <c r="AP29" s="89"/>
      <c r="AQ29" s="95"/>
      <c r="AR29" s="98">
        <v>3</v>
      </c>
      <c r="AS29" s="89">
        <v>190</v>
      </c>
      <c r="AT29" s="95">
        <v>18</v>
      </c>
      <c r="AU29" s="97">
        <v>4</v>
      </c>
      <c r="AV29" s="97">
        <v>8</v>
      </c>
      <c r="AW29" s="108" t="s">
        <v>561</v>
      </c>
      <c r="AX29" s="106"/>
      <c r="AY29" s="106">
        <f t="shared" si="12"/>
        <v>40</v>
      </c>
    </row>
    <row r="30" ht="16.5" customHeight="1" spans="3:51">
      <c r="C30" s="62" t="str">
        <f>$AD$3&amp;IF(ISBLANK(AD30),0,AD30)&amp;";"&amp;$AE$3&amp;IF(ISBLANK(AE30),0,AE30)&amp;";"&amp;$AF$3&amp;IF(ISBLANK(AF30),0,AF30)&amp;";"&amp;$AG$3&amp;IF(ISBLANK(AG30),0,AG30)&amp;";"&amp;$AH$3&amp;IF(ISBLANK(AH30),0,AH30)&amp;";"&amp;$AI$3&amp;IF(ISBLANK(AI30),0,AI30)</f>
        <v>1012:4;1011:3;4001:4;4004:1;4005:1;4007:2</v>
      </c>
      <c r="D30" s="62" t="str">
        <f>VLOOKUP(O30,'!无用'!$B$4:$D$7,3)&amp;IF(O30=0,AL30,)&amp;IF(O30=1,AM30,)&amp;IF(O30=2,AN30,)&amp;IF(O30=3,AO30,)&amp;";"&amp;VLOOKUP(P30,'!无用'!$B$8:$D$9,3)&amp;IF(P30=1,1,)&amp;IF(P30=0,AP30,)&amp;IF(Q30=3,,";"&amp;VLOOKUP(Q30,'!无用'!$B$10:$D$13,3))</f>
        <v>gold:110;customer:1</v>
      </c>
      <c r="E30" s="63" t="str">
        <f t="shared" si="11"/>
        <v>wt:2;stp:4;wait:8</v>
      </c>
      <c r="F30" s="64" t="str">
        <f t="shared" si="13"/>
        <v>gold:100;maxdemand:3</v>
      </c>
      <c r="G30" s="65" t="str">
        <f t="shared" ref="G30:G37" si="16">$S$2&amp;IF(ISBLANK(S30),0,S30)&amp;";"&amp;$T$2&amp;IF(ISBLANK(T30),0,T30)&amp;";"&amp;$U$2&amp;IF(ISBLANK(U30),0,U30)&amp;";"&amp;$V$2&amp;IF(ISBLANK(V30),0,V30)</f>
        <v>2002:2;2003:2;2001:2;2004:1</v>
      </c>
      <c r="H30" s="66" t="str">
        <f t="shared" ref="H30:H37" si="17">$X$2&amp;IF(ISBLANK(X30),0,X30)&amp;";"&amp;$Y$2&amp;IF(ISBLANK(Y30),0,Y30)&amp;";"&amp;$Z$2&amp;IF(ISBLANK(Z30),0,Z30)&amp;";"&amp;$AA$2&amp;IF(ISBLANK(AA30),0,AA30)&amp;";"&amp;$AB$2&amp;IF(ISBLANK(AB30),0,AB30)&amp;";"&amp;$AC$2&amp;IF(ISBLANK(AC30),0,AC30)</f>
        <v>1000:2;1003:3;1005:2;1002:1;1004:1;1001:1</v>
      </c>
      <c r="I30" s="77" t="str">
        <f>VLOOKUP(O30,'!无用'!$B$4:$C$7,2)&amp;"、"&amp;VLOOKUP(P30,'!无用'!$B$8:$C$9,2)&amp;"、"&amp;VLOOKUP(Q30,'!无用'!$B$10:$C$13,2)</f>
        <v>金币、人数、无</v>
      </c>
      <c r="J30" s="77"/>
      <c r="K30" s="75">
        <v>8</v>
      </c>
      <c r="L30" s="38">
        <v>3</v>
      </c>
      <c r="M30" s="38">
        <v>0</v>
      </c>
      <c r="N30" s="38">
        <v>0</v>
      </c>
      <c r="O30" s="81">
        <v>0</v>
      </c>
      <c r="P30" s="81">
        <v>1</v>
      </c>
      <c r="Q30" s="81">
        <v>3</v>
      </c>
      <c r="R30" s="13"/>
      <c r="S30" s="38">
        <v>2</v>
      </c>
      <c r="T30" s="38">
        <v>2</v>
      </c>
      <c r="U30" s="38">
        <v>2</v>
      </c>
      <c r="V30" s="38">
        <v>1</v>
      </c>
      <c r="W30" s="38"/>
      <c r="X30" s="38">
        <v>2</v>
      </c>
      <c r="Y30" s="38">
        <v>3</v>
      </c>
      <c r="Z30" s="38">
        <v>2</v>
      </c>
      <c r="AA30" s="38">
        <v>1</v>
      </c>
      <c r="AB30" s="38">
        <v>1</v>
      </c>
      <c r="AC30" s="38">
        <v>1</v>
      </c>
      <c r="AD30" s="89">
        <v>4</v>
      </c>
      <c r="AE30" s="89">
        <v>3</v>
      </c>
      <c r="AF30" s="89">
        <v>4</v>
      </c>
      <c r="AG30" s="89">
        <v>1</v>
      </c>
      <c r="AH30" s="89">
        <v>1</v>
      </c>
      <c r="AI30" s="89">
        <v>2</v>
      </c>
      <c r="AJ30" s="89"/>
      <c r="AK30" s="89">
        <v>500</v>
      </c>
      <c r="AL30" s="89">
        <v>110</v>
      </c>
      <c r="AM30" s="89"/>
      <c r="AN30" s="89"/>
      <c r="AO30" s="89"/>
      <c r="AP30" s="89"/>
      <c r="AQ30" s="95">
        <v>100</v>
      </c>
      <c r="AR30" s="98">
        <v>3</v>
      </c>
      <c r="AS30" s="89"/>
      <c r="AT30" s="95"/>
      <c r="AU30" s="97">
        <v>4</v>
      </c>
      <c r="AV30" s="97">
        <v>8</v>
      </c>
      <c r="AW30" s="108" t="s">
        <v>562</v>
      </c>
      <c r="AX30" s="106"/>
      <c r="AY30" s="106">
        <f t="shared" si="12"/>
        <v>40</v>
      </c>
    </row>
    <row r="31" ht="16.5" customHeight="1" spans="3:51">
      <c r="C31" s="62" t="str">
        <f>$AD$3&amp;IF(ISBLANK(AD31),0,AD31)&amp;";"&amp;$AE$3&amp;IF(ISBLANK(AE31),0,AE31)&amp;";"&amp;$AF$3&amp;IF(ISBLANK(AF31),0,AF31)&amp;";"&amp;$AG$3&amp;IF(ISBLANK(AG31),0,AG31)&amp;";"&amp;$AH$3&amp;IF(ISBLANK(AH31),0,AH31)&amp;";"&amp;$AI$3&amp;IF(ISBLANK(AI31),0,AI31)</f>
        <v>1012:4;1011:3;4001:4;4004:1;4005:1;4007:2</v>
      </c>
      <c r="D31" s="62" t="str">
        <f>VLOOKUP(O31,'!无用'!$B$4:$D$7,3)&amp;IF(O31=0,AL31,)&amp;IF(O31=1,AM31,)&amp;IF(O31=2,AN31,)&amp;IF(O31=3,AO31,)&amp;";"&amp;VLOOKUP(P31,'!无用'!$B$8:$D$9,3)&amp;IF(P31=1,1,)&amp;IF(P31=0,AP31,)&amp;IF(Q31=3,,";"&amp;VLOOKUP(Q31,'!无用'!$B$10:$D$13,3))</f>
        <v>role:12;time:120;char:0</v>
      </c>
      <c r="E31" s="63" t="str">
        <f t="shared" si="11"/>
        <v>wt:2;stp:4;wait:8</v>
      </c>
      <c r="F31" s="64" t="str">
        <f t="shared" si="13"/>
        <v>gold:210;maxdemand:3</v>
      </c>
      <c r="G31" s="65" t="str">
        <f t="shared" si="16"/>
        <v>2002:2;2003:2;2001:2;2004:1</v>
      </c>
      <c r="H31" s="66" t="str">
        <f t="shared" si="17"/>
        <v>1000:3;1003:3;1005:2;1002:2;1004:2;1001:2</v>
      </c>
      <c r="I31" s="77" t="str">
        <f>VLOOKUP(O31,'!无用'!$B$4:$C$7,2)&amp;"、"&amp;VLOOKUP(P31,'!无用'!$B$8:$C$9,2)&amp;"、"&amp;VLOOKUP(Q31,'!无用'!$B$10:$C$13,2)</f>
        <v>顾客、时间、烧焦</v>
      </c>
      <c r="J31" s="77"/>
      <c r="K31" s="75">
        <v>9</v>
      </c>
      <c r="L31" s="38">
        <v>3</v>
      </c>
      <c r="M31" s="38">
        <v>0</v>
      </c>
      <c r="N31" s="38">
        <v>0</v>
      </c>
      <c r="O31" s="81">
        <v>2</v>
      </c>
      <c r="P31" s="81">
        <v>0</v>
      </c>
      <c r="Q31" s="81">
        <v>2</v>
      </c>
      <c r="R31" s="13"/>
      <c r="S31" s="38">
        <v>2</v>
      </c>
      <c r="T31" s="38">
        <v>2</v>
      </c>
      <c r="U31" s="38">
        <v>2</v>
      </c>
      <c r="V31" s="38">
        <v>1</v>
      </c>
      <c r="W31" s="38"/>
      <c r="X31" s="38">
        <v>3</v>
      </c>
      <c r="Y31" s="38">
        <v>3</v>
      </c>
      <c r="Z31" s="38">
        <v>2</v>
      </c>
      <c r="AA31" s="38">
        <v>2</v>
      </c>
      <c r="AB31" s="38">
        <v>2</v>
      </c>
      <c r="AC31" s="38">
        <v>2</v>
      </c>
      <c r="AD31" s="89">
        <v>4</v>
      </c>
      <c r="AE31" s="89">
        <v>3</v>
      </c>
      <c r="AF31" s="89">
        <v>4</v>
      </c>
      <c r="AG31" s="89">
        <v>1</v>
      </c>
      <c r="AH31" s="89">
        <v>1</v>
      </c>
      <c r="AI31" s="89">
        <v>2</v>
      </c>
      <c r="AJ31" s="89"/>
      <c r="AK31" s="89">
        <v>2500</v>
      </c>
      <c r="AL31" s="89"/>
      <c r="AM31" s="89"/>
      <c r="AN31" s="89">
        <v>12</v>
      </c>
      <c r="AO31" s="89"/>
      <c r="AP31" s="89">
        <v>120</v>
      </c>
      <c r="AQ31" s="95">
        <v>210</v>
      </c>
      <c r="AR31" s="98">
        <v>3</v>
      </c>
      <c r="AS31" s="89"/>
      <c r="AT31" s="95"/>
      <c r="AU31" s="97">
        <v>4</v>
      </c>
      <c r="AV31" s="97">
        <v>8</v>
      </c>
      <c r="AW31" s="108" t="s">
        <v>563</v>
      </c>
      <c r="AX31" s="106"/>
      <c r="AY31" s="106">
        <f t="shared" si="12"/>
        <v>40</v>
      </c>
    </row>
    <row r="32" ht="16.5" customHeight="1" spans="3:51">
      <c r="C32" s="62" t="str">
        <f>$AD$3&amp;IF(ISBLANK(AD32),0,AD32)&amp;";"&amp;$AE$3&amp;IF(ISBLANK(AE32),0,AE32)&amp;";"&amp;$AF$3&amp;IF(ISBLANK(AF32),0,AF32)&amp;";"&amp;$AG$3&amp;IF(ISBLANK(AG32),0,AG32)&amp;";"&amp;$AH$3&amp;IF(ISBLANK(AH32),0,AH32)&amp;";"&amp;$AI$3&amp;IF(ISBLANK(AI32),0,AI32)</f>
        <v>1012:4;1011:3;4001:4;4004:2;4005:1;4007:3</v>
      </c>
      <c r="D32" s="62" t="str">
        <f>VLOOKUP(O32,'!无用'!$B$4:$D$7,3)&amp;IF(O32=0,AL32,)&amp;IF(O32=1,AM32,)&amp;IF(O32=2,AN32,)&amp;IF(O32=3,AO32,)&amp;";"&amp;VLOOKUP(P32,'!无用'!$B$8:$D$9,3)&amp;IF(P32=1,1,)&amp;IF(P32=0,AP32,)&amp;IF(Q32=3,,";"&amp;VLOOKUP(Q32,'!无用'!$B$10:$D$13,3))</f>
        <v>praise:12;customer:1;wash:0</v>
      </c>
      <c r="E32" s="63" t="str">
        <f t="shared" si="11"/>
        <v>wt:2;stp:4;wait:8</v>
      </c>
      <c r="F32" s="64" t="str">
        <f t="shared" si="13"/>
        <v>maxdemand:3;foodcount:23</v>
      </c>
      <c r="G32" s="65" t="str">
        <f t="shared" si="16"/>
        <v>2002:2;2003:2;2001:2;2004:1</v>
      </c>
      <c r="H32" s="66" t="str">
        <f t="shared" si="17"/>
        <v>1000:3;1003:3;1005:3;1002:2;1004:2;1001:2</v>
      </c>
      <c r="I32" s="77" t="str">
        <f>VLOOKUP(O32,'!无用'!$B$4:$C$7,2)&amp;"、"&amp;VLOOKUP(P32,'!无用'!$B$8:$C$9,2)&amp;"、"&amp;VLOOKUP(Q32,'!无用'!$B$10:$C$13,2)</f>
        <v>点赞、人数、浪费</v>
      </c>
      <c r="J32" s="77"/>
      <c r="K32" s="75">
        <v>10</v>
      </c>
      <c r="L32" s="38">
        <v>3</v>
      </c>
      <c r="M32" s="38">
        <v>10</v>
      </c>
      <c r="N32" s="38">
        <v>0</v>
      </c>
      <c r="O32" s="81">
        <v>1</v>
      </c>
      <c r="P32" s="81">
        <v>1</v>
      </c>
      <c r="Q32" s="81">
        <v>0</v>
      </c>
      <c r="R32" s="13"/>
      <c r="S32" s="38">
        <v>2</v>
      </c>
      <c r="T32" s="38">
        <v>2</v>
      </c>
      <c r="U32" s="38">
        <v>2</v>
      </c>
      <c r="V32" s="38">
        <v>1</v>
      </c>
      <c r="W32" s="38"/>
      <c r="X32" s="38">
        <v>3</v>
      </c>
      <c r="Y32" s="38">
        <v>3</v>
      </c>
      <c r="Z32" s="38">
        <v>3</v>
      </c>
      <c r="AA32" s="38">
        <v>2</v>
      </c>
      <c r="AB32" s="38">
        <v>2</v>
      </c>
      <c r="AC32" s="38">
        <v>2</v>
      </c>
      <c r="AD32" s="89">
        <v>4</v>
      </c>
      <c r="AE32" s="89">
        <v>3</v>
      </c>
      <c r="AF32" s="89">
        <v>4</v>
      </c>
      <c r="AG32" s="89">
        <v>2</v>
      </c>
      <c r="AH32" s="89">
        <v>1</v>
      </c>
      <c r="AI32" s="89">
        <v>3</v>
      </c>
      <c r="AJ32" s="89"/>
      <c r="AK32" s="89">
        <v>1000</v>
      </c>
      <c r="AL32" s="89"/>
      <c r="AM32" s="89">
        <v>12</v>
      </c>
      <c r="AN32" s="89"/>
      <c r="AO32" s="89"/>
      <c r="AP32" s="89"/>
      <c r="AQ32" s="95"/>
      <c r="AR32" s="98">
        <v>3</v>
      </c>
      <c r="AS32" s="89">
        <v>190</v>
      </c>
      <c r="AT32" s="95">
        <v>23</v>
      </c>
      <c r="AU32" s="97">
        <v>4</v>
      </c>
      <c r="AV32" s="97">
        <v>8</v>
      </c>
      <c r="AW32" s="108" t="s">
        <v>564</v>
      </c>
      <c r="AX32" s="106"/>
      <c r="AY32" s="106">
        <f t="shared" si="12"/>
        <v>40</v>
      </c>
    </row>
    <row r="33" ht="16.5" customHeight="1" spans="3:51">
      <c r="C33" s="62" t="str">
        <f>$AD$3&amp;IF(ISBLANK(AD33),0,AD33)&amp;";"&amp;$AE$3&amp;IF(ISBLANK(AE33),0,AE33)&amp;";"&amp;$AF$3&amp;IF(ISBLANK(AF33),0,AF33)&amp;";"&amp;$AG$3&amp;IF(ISBLANK(AG33),0,AG33)&amp;";"&amp;$AH$3&amp;IF(ISBLANK(AH33),0,AH33)&amp;";"&amp;$AI$3&amp;IF(ISBLANK(AI33),0,AI33)</f>
        <v>1012:5;1011:3;4001:4;4004:1;4005:1;4007:3</v>
      </c>
      <c r="D33" s="62" t="str">
        <f>VLOOKUP(O33,'!无用'!$B$4:$D$7,3)&amp;IF(O33=0,AL33,)&amp;IF(O33=1,AM33,)&amp;IF(O33=2,AN33,)&amp;IF(O33=3,AO33,)&amp;";"&amp;VLOOKUP(P33,'!无用'!$B$8:$D$9,3)&amp;IF(P33=1,1,)&amp;IF(P33=0,AP33,)&amp;IF(Q33=3,,";"&amp;VLOOKUP(Q33,'!无用'!$B$10:$D$13,3))</f>
        <v>gold:140;time:120</v>
      </c>
      <c r="E33" s="63" t="str">
        <f t="shared" si="11"/>
        <v>wt:2;stp:4;wait:8</v>
      </c>
      <c r="F33" s="64" t="str">
        <f t="shared" si="13"/>
        <v>gold:140;maxdemand:3</v>
      </c>
      <c r="G33" s="65" t="str">
        <f t="shared" si="16"/>
        <v>2002:2;2003:2;2001:2;2004:3</v>
      </c>
      <c r="H33" s="66" t="str">
        <f t="shared" si="17"/>
        <v>1000:3;1003:3;1005:3;1002:3;1004:2;1001:2</v>
      </c>
      <c r="I33" s="77" t="str">
        <f>VLOOKUP(O33,'!无用'!$B$4:$C$7,2)&amp;"、"&amp;VLOOKUP(P33,'!无用'!$B$8:$C$9,2)&amp;"、"&amp;VLOOKUP(Q33,'!无用'!$B$10:$C$13,2)</f>
        <v>金币、时间、无</v>
      </c>
      <c r="J33" s="77"/>
      <c r="K33" s="78">
        <v>11</v>
      </c>
      <c r="L33" s="38">
        <v>3</v>
      </c>
      <c r="M33" s="38">
        <v>0</v>
      </c>
      <c r="N33" s="38">
        <v>0</v>
      </c>
      <c r="O33" s="81">
        <v>0</v>
      </c>
      <c r="P33" s="81">
        <v>0</v>
      </c>
      <c r="Q33" s="81">
        <v>3</v>
      </c>
      <c r="R33" s="13"/>
      <c r="S33" s="38">
        <v>2</v>
      </c>
      <c r="T33" s="38">
        <v>2</v>
      </c>
      <c r="U33" s="38">
        <v>2</v>
      </c>
      <c r="V33" s="38">
        <v>3</v>
      </c>
      <c r="W33" s="38"/>
      <c r="X33" s="38">
        <v>3</v>
      </c>
      <c r="Y33" s="38">
        <v>3</v>
      </c>
      <c r="Z33" s="38">
        <v>3</v>
      </c>
      <c r="AA33" s="38">
        <v>3</v>
      </c>
      <c r="AB33" s="38">
        <v>2</v>
      </c>
      <c r="AC33" s="38">
        <v>2</v>
      </c>
      <c r="AD33" s="89">
        <v>5</v>
      </c>
      <c r="AE33" s="89">
        <v>3</v>
      </c>
      <c r="AF33" s="89">
        <v>4</v>
      </c>
      <c r="AG33" s="89">
        <v>1</v>
      </c>
      <c r="AH33" s="89">
        <v>1</v>
      </c>
      <c r="AI33" s="89">
        <v>3</v>
      </c>
      <c r="AJ33" s="89"/>
      <c r="AK33" s="89">
        <v>1000</v>
      </c>
      <c r="AL33" s="89">
        <v>140</v>
      </c>
      <c r="AM33" s="89"/>
      <c r="AN33" s="89"/>
      <c r="AO33" s="89"/>
      <c r="AP33" s="89">
        <v>120</v>
      </c>
      <c r="AQ33" s="95">
        <v>140</v>
      </c>
      <c r="AR33" s="98">
        <v>3</v>
      </c>
      <c r="AS33" s="89"/>
      <c r="AT33" s="95"/>
      <c r="AU33" s="97">
        <v>4</v>
      </c>
      <c r="AV33" s="97">
        <v>8</v>
      </c>
      <c r="AW33" s="108" t="s">
        <v>565</v>
      </c>
      <c r="AX33" s="106"/>
      <c r="AY33" s="106">
        <f t="shared" si="12"/>
        <v>40</v>
      </c>
    </row>
    <row r="34" ht="16.5" customHeight="1" spans="3:51">
      <c r="C34" s="62" t="str">
        <f>$AD$3&amp;IF(ISBLANK(AD34),0,AD34)&amp;";"&amp;$AE$3&amp;IF(ISBLANK(AE34),0,AE34)&amp;";"&amp;$AF$3&amp;IF(ISBLANK(AF34),0,AF34)&amp;";"&amp;$AG$3&amp;IF(ISBLANK(AG34),0,AG34)&amp;";"&amp;$AH$3&amp;IF(ISBLANK(AH34),0,AH34)&amp;";"&amp;$AI$3&amp;IF(ISBLANK(AI34),0,AI34)</f>
        <v>1012:5;1011:4;4001:5;4004:2;4005:2;4007:4</v>
      </c>
      <c r="D34" s="62" t="str">
        <f>VLOOKUP(O34,'!无用'!$B$4:$D$7,3)&amp;IF(O34=0,AL34,)&amp;IF(O34=1,AM34,)&amp;IF(O34=2,AN34,)&amp;IF(O34=3,AO34,)&amp;";"&amp;VLOOKUP(P34,'!无用'!$B$8:$D$9,3)&amp;IF(P34=1,1,)&amp;IF(P34=0,AP34,)&amp;IF(Q34=3,,";"&amp;VLOOKUP(Q34,'!无用'!$B$10:$D$13,3))</f>
        <v>gold:160;customer:1;char:0</v>
      </c>
      <c r="E34" s="63" t="str">
        <f t="shared" si="11"/>
        <v>wt:2;stp:4;wait:8</v>
      </c>
      <c r="F34" s="64" t="str">
        <f t="shared" si="13"/>
        <v>gold:150;maxdemand:3</v>
      </c>
      <c r="G34" s="65" t="str">
        <f t="shared" si="16"/>
        <v>2002:2;2003:3;2001:2;2004:3</v>
      </c>
      <c r="H34" s="66" t="str">
        <f t="shared" si="17"/>
        <v>1000:3;1003:3;1005:3;1002:3;1004:2;1001:3</v>
      </c>
      <c r="I34" s="77" t="str">
        <f>VLOOKUP(O34,'!无用'!$B$4:$C$7,2)&amp;"、"&amp;VLOOKUP(P34,'!无用'!$B$8:$C$9,2)&amp;"、"&amp;VLOOKUP(Q34,'!无用'!$B$10:$C$13,2)</f>
        <v>金币、人数、烧焦</v>
      </c>
      <c r="J34" s="77"/>
      <c r="K34" s="75">
        <v>12</v>
      </c>
      <c r="L34" s="38">
        <v>3</v>
      </c>
      <c r="M34" s="38">
        <v>0</v>
      </c>
      <c r="N34" s="38">
        <v>0</v>
      </c>
      <c r="O34" s="81">
        <v>0</v>
      </c>
      <c r="P34" s="81">
        <v>1</v>
      </c>
      <c r="Q34" s="81">
        <v>2</v>
      </c>
      <c r="R34" s="13"/>
      <c r="S34" s="38">
        <v>2</v>
      </c>
      <c r="T34" s="38">
        <v>3</v>
      </c>
      <c r="U34" s="38">
        <v>2</v>
      </c>
      <c r="V34" s="38">
        <v>3</v>
      </c>
      <c r="W34" s="38"/>
      <c r="X34" s="38">
        <v>3</v>
      </c>
      <c r="Y34" s="38">
        <v>3</v>
      </c>
      <c r="Z34" s="38">
        <v>3</v>
      </c>
      <c r="AA34" s="38">
        <v>3</v>
      </c>
      <c r="AB34" s="38">
        <v>2</v>
      </c>
      <c r="AC34" s="38">
        <v>3</v>
      </c>
      <c r="AD34" s="89">
        <v>5</v>
      </c>
      <c r="AE34" s="89">
        <v>4</v>
      </c>
      <c r="AF34" s="89">
        <v>5</v>
      </c>
      <c r="AG34" s="89">
        <v>2</v>
      </c>
      <c r="AH34" s="89">
        <v>2</v>
      </c>
      <c r="AI34" s="89">
        <v>4</v>
      </c>
      <c r="AJ34" s="89"/>
      <c r="AK34" s="89">
        <v>2000</v>
      </c>
      <c r="AL34" s="89">
        <v>160</v>
      </c>
      <c r="AM34" s="89"/>
      <c r="AN34" s="89"/>
      <c r="AO34" s="89"/>
      <c r="AP34" s="89"/>
      <c r="AQ34" s="95">
        <v>150</v>
      </c>
      <c r="AR34" s="98">
        <v>3</v>
      </c>
      <c r="AS34" s="89"/>
      <c r="AT34" s="95"/>
      <c r="AU34" s="97">
        <v>4</v>
      </c>
      <c r="AV34" s="97">
        <v>8</v>
      </c>
      <c r="AW34" s="108" t="s">
        <v>566</v>
      </c>
      <c r="AX34" s="106"/>
      <c r="AY34" s="106">
        <f t="shared" si="12"/>
        <v>40</v>
      </c>
    </row>
    <row r="35" ht="16.5" customHeight="1" spans="3:51">
      <c r="C35" s="62" t="str">
        <f>$AD$3&amp;IF(ISBLANK(AD35),0,AD35)&amp;";"&amp;$AE$3&amp;IF(ISBLANK(AE35),0,AE35)&amp;";"&amp;$AF$3&amp;IF(ISBLANK(AF35),0,AF35)&amp;";"&amp;$AG$3&amp;IF(ISBLANK(AG35),0,AG35)&amp;";"&amp;$AH$3&amp;IF(ISBLANK(AH35),0,AH35)&amp;";"&amp;$AI$3&amp;IF(ISBLANK(AI35),0,AI35)</f>
        <v>1012:5;1011:4;4001:5;4004:3;4005:2;4007:4</v>
      </c>
      <c r="D35" s="62" t="str">
        <f>VLOOKUP(O35,'!无用'!$B$4:$D$7,3)&amp;IF(O35=0,AL35,)&amp;IF(O35=1,AM35,)&amp;IF(O35=2,AN35,)&amp;IF(O35=3,AO35,)&amp;";"&amp;VLOOKUP(P35,'!无用'!$B$8:$D$9,3)&amp;IF(P35=1,1,)&amp;IF(P35=0,AP35,)&amp;IF(Q35=3,,";"&amp;VLOOKUP(Q35,'!无用'!$B$10:$D$13,3))</f>
        <v>role:10;customer:1</v>
      </c>
      <c r="E35" s="63" t="str">
        <f t="shared" si="11"/>
        <v>wt:2;stp:4;wait:8</v>
      </c>
      <c r="F35" s="64" t="str">
        <f t="shared" si="13"/>
        <v>maxdemand:3;foodcount:21</v>
      </c>
      <c r="G35" s="65" t="str">
        <f t="shared" si="16"/>
        <v>2002:2;2003:3;2001:3;2004:3</v>
      </c>
      <c r="H35" s="66" t="str">
        <f t="shared" si="17"/>
        <v>1000:3;1003:3;1005:3;1002:3;1004:3;1001:3</v>
      </c>
      <c r="I35" s="77" t="str">
        <f>VLOOKUP(O35,'!无用'!$B$4:$C$7,2)&amp;"、"&amp;VLOOKUP(P35,'!无用'!$B$8:$C$9,2)&amp;"、"&amp;VLOOKUP(Q35,'!无用'!$B$10:$C$13,2)</f>
        <v>顾客、人数、无</v>
      </c>
      <c r="J35" s="77"/>
      <c r="K35" s="75">
        <v>13</v>
      </c>
      <c r="L35" s="38">
        <v>3</v>
      </c>
      <c r="M35" s="38">
        <v>0</v>
      </c>
      <c r="N35" s="38">
        <v>0</v>
      </c>
      <c r="O35" s="81">
        <v>2</v>
      </c>
      <c r="P35" s="81">
        <v>1</v>
      </c>
      <c r="Q35" s="81">
        <v>3</v>
      </c>
      <c r="R35" s="13"/>
      <c r="S35" s="38">
        <v>2</v>
      </c>
      <c r="T35" s="38">
        <v>3</v>
      </c>
      <c r="U35" s="38">
        <v>3</v>
      </c>
      <c r="V35" s="38">
        <v>3</v>
      </c>
      <c r="W35" s="38"/>
      <c r="X35" s="38">
        <v>3</v>
      </c>
      <c r="Y35" s="38">
        <v>3</v>
      </c>
      <c r="Z35" s="38">
        <v>3</v>
      </c>
      <c r="AA35" s="38">
        <v>3</v>
      </c>
      <c r="AB35" s="38">
        <v>3</v>
      </c>
      <c r="AC35" s="38">
        <v>3</v>
      </c>
      <c r="AD35" s="89">
        <v>5</v>
      </c>
      <c r="AE35" s="89">
        <v>4</v>
      </c>
      <c r="AF35" s="89">
        <v>5</v>
      </c>
      <c r="AG35" s="89">
        <v>3</v>
      </c>
      <c r="AH35" s="89">
        <v>2</v>
      </c>
      <c r="AI35" s="89">
        <v>4</v>
      </c>
      <c r="AJ35" s="89"/>
      <c r="AK35" s="89">
        <v>1000</v>
      </c>
      <c r="AL35" s="89"/>
      <c r="AM35" s="89"/>
      <c r="AN35" s="89">
        <v>10</v>
      </c>
      <c r="AO35" s="89"/>
      <c r="AP35" s="89"/>
      <c r="AQ35" s="95"/>
      <c r="AR35" s="98">
        <v>3</v>
      </c>
      <c r="AS35" s="89">
        <v>190</v>
      </c>
      <c r="AT35" s="95">
        <v>21</v>
      </c>
      <c r="AU35" s="97">
        <v>4</v>
      </c>
      <c r="AV35" s="97">
        <v>8</v>
      </c>
      <c r="AW35" s="108" t="s">
        <v>567</v>
      </c>
      <c r="AX35" s="106"/>
      <c r="AY35" s="106">
        <f t="shared" si="12"/>
        <v>40</v>
      </c>
    </row>
    <row r="36" ht="16.5" customHeight="1" spans="3:51">
      <c r="C36" s="62" t="str">
        <f>$AD$3&amp;IF(ISBLANK(AD36),0,AD36)&amp;";"&amp;$AE$3&amp;IF(ISBLANK(AE36),0,AE36)&amp;";"&amp;$AF$3&amp;IF(ISBLANK(AF36),0,AF36)&amp;";"&amp;$AG$3&amp;IF(ISBLANK(AG36),0,AG36)&amp;";"&amp;$AH$3&amp;IF(ISBLANK(AH36),0,AH36)&amp;";"&amp;$AI$3&amp;IF(ISBLANK(AI36),0,AI36)</f>
        <v>1012:4;1011:4;4001:5;4004:3;4005:3;4007:4</v>
      </c>
      <c r="D36" s="62" t="str">
        <f>VLOOKUP(O36,'!无用'!$B$4:$D$7,3)&amp;IF(O36=0,AL36,)&amp;IF(O36=1,AM36,)&amp;IF(O36=2,AN36,)&amp;IF(O36=3,AO36,)&amp;";"&amp;VLOOKUP(P36,'!无用'!$B$8:$D$9,3)&amp;IF(P36=1,1,)&amp;IF(P36=0,AP36,)&amp;IF(Q36=3,,";"&amp;VLOOKUP(Q36,'!无用'!$B$10:$D$13,3))</f>
        <v>dish:26;time:120;wash:0</v>
      </c>
      <c r="E36" s="63" t="str">
        <f t="shared" si="11"/>
        <v>wt:2;stp:4;wait:8</v>
      </c>
      <c r="F36" s="64" t="str">
        <f t="shared" si="13"/>
        <v>gold:200;maxdemand:3</v>
      </c>
      <c r="G36" s="65" t="str">
        <f t="shared" si="16"/>
        <v>2002:3;2003:3;2001:3;2004:3</v>
      </c>
      <c r="H36" s="66" t="str">
        <f t="shared" si="17"/>
        <v>1000:3;1003:3;1005:3;1002:3;1004:3;1001:3</v>
      </c>
      <c r="I36" s="77" t="str">
        <f>VLOOKUP(O36,'!无用'!$B$4:$C$7,2)&amp;"、"&amp;VLOOKUP(P36,'!无用'!$B$8:$C$9,2)&amp;"、"&amp;VLOOKUP(Q36,'!无用'!$B$10:$C$13,2)</f>
        <v>上菜、时间、浪费</v>
      </c>
      <c r="J36" s="77"/>
      <c r="K36" s="75">
        <v>14</v>
      </c>
      <c r="L36" s="38">
        <v>3</v>
      </c>
      <c r="M36" s="38">
        <v>0</v>
      </c>
      <c r="N36" s="38">
        <v>0</v>
      </c>
      <c r="O36" s="81">
        <v>3</v>
      </c>
      <c r="P36" s="81">
        <v>0</v>
      </c>
      <c r="Q36" s="81">
        <v>0</v>
      </c>
      <c r="R36" s="13"/>
      <c r="S36" s="38">
        <v>3</v>
      </c>
      <c r="T36" s="38">
        <v>3</v>
      </c>
      <c r="U36" s="38">
        <v>3</v>
      </c>
      <c r="V36" s="38">
        <v>3</v>
      </c>
      <c r="W36" s="38"/>
      <c r="X36" s="38">
        <v>3</v>
      </c>
      <c r="Y36" s="38">
        <v>3</v>
      </c>
      <c r="Z36" s="38">
        <v>3</v>
      </c>
      <c r="AA36" s="38">
        <v>3</v>
      </c>
      <c r="AB36" s="38">
        <v>3</v>
      </c>
      <c r="AC36" s="38">
        <v>3</v>
      </c>
      <c r="AD36" s="89">
        <v>4</v>
      </c>
      <c r="AE36" s="89">
        <v>4</v>
      </c>
      <c r="AF36" s="89">
        <v>5</v>
      </c>
      <c r="AG36" s="89">
        <v>3</v>
      </c>
      <c r="AH36" s="89">
        <v>3</v>
      </c>
      <c r="AI36" s="89">
        <v>4</v>
      </c>
      <c r="AJ36" s="89"/>
      <c r="AK36" s="89"/>
      <c r="AL36" s="89"/>
      <c r="AM36" s="89"/>
      <c r="AN36" s="89"/>
      <c r="AO36" s="89">
        <v>26</v>
      </c>
      <c r="AP36" s="89">
        <v>120</v>
      </c>
      <c r="AQ36" s="95">
        <v>200</v>
      </c>
      <c r="AR36" s="98">
        <v>3</v>
      </c>
      <c r="AS36" s="89"/>
      <c r="AT36" s="95"/>
      <c r="AU36" s="97">
        <v>4</v>
      </c>
      <c r="AV36" s="97">
        <v>8</v>
      </c>
      <c r="AW36" s="108" t="s">
        <v>568</v>
      </c>
      <c r="AX36" s="106"/>
      <c r="AY36" s="106">
        <f t="shared" si="12"/>
        <v>40</v>
      </c>
    </row>
    <row r="37" ht="16.5" customHeight="1" spans="3:51">
      <c r="C37" s="62" t="str">
        <f>$AD$3&amp;IF(ISBLANK(AD37),0,AD37)&amp;";"&amp;$AE$3&amp;IF(ISBLANK(AE37),0,AE37)&amp;";"&amp;$AF$3&amp;IF(ISBLANK(AF37),0,AF37)&amp;";"&amp;$AG$3&amp;IF(ISBLANK(AG37),0,AG37)&amp;";"&amp;$AH$3&amp;IF(ISBLANK(AH37),0,AH37)&amp;";"&amp;$AI$3&amp;IF(ISBLANK(AI37),0,AI37)</f>
        <v>1012:4;1011:4;4001:5;4004:3;4005:3;4007:4</v>
      </c>
      <c r="D37" s="62" t="str">
        <f>VLOOKUP(O37,'!无用'!$B$4:$D$7,3)&amp;IF(O37=0,AL37,)&amp;IF(O37=1,AM37,)&amp;IF(O37=2,AN37,)&amp;IF(O37=3,AO37,)&amp;";"&amp;VLOOKUP(P37,'!无用'!$B$8:$D$9,3)&amp;IF(P37=1,1,)&amp;IF(P37=0,AP37,)&amp;IF(Q37=3,,";"&amp;VLOOKUP(Q37,'!无用'!$B$10:$D$13,3))</f>
        <v>gold:260;customer:1</v>
      </c>
      <c r="E37" s="63" t="str">
        <f t="shared" si="11"/>
        <v>wt:2;stp:4;wait:8</v>
      </c>
      <c r="F37" s="64" t="str">
        <f t="shared" si="13"/>
        <v>gold:260;maxdemand:3</v>
      </c>
      <c r="G37" s="65" t="str">
        <f t="shared" si="16"/>
        <v>2002:3;2003:3;2001:3;2004:3</v>
      </c>
      <c r="H37" s="66" t="str">
        <f t="shared" si="17"/>
        <v>1000:3;1003:3;1005:3;1002:3;1004:3;1001:3</v>
      </c>
      <c r="I37" s="77" t="str">
        <f>VLOOKUP(O37,'!无用'!$B$4:$C$7,2)&amp;"、"&amp;VLOOKUP(P37,'!无用'!$B$8:$C$9,2)&amp;"、"&amp;VLOOKUP(Q37,'!无用'!$B$10:$C$13,2)</f>
        <v>金币、人数、无</v>
      </c>
      <c r="J37" s="77"/>
      <c r="K37" s="75">
        <v>15</v>
      </c>
      <c r="L37" s="38">
        <v>3</v>
      </c>
      <c r="M37" s="38">
        <v>15</v>
      </c>
      <c r="N37" s="38">
        <v>1</v>
      </c>
      <c r="O37" s="81">
        <v>0</v>
      </c>
      <c r="P37" s="81">
        <v>1</v>
      </c>
      <c r="Q37" s="81">
        <v>3</v>
      </c>
      <c r="R37" s="13"/>
      <c r="S37" s="38">
        <v>3</v>
      </c>
      <c r="T37" s="38">
        <v>3</v>
      </c>
      <c r="U37" s="38">
        <v>3</v>
      </c>
      <c r="V37" s="38">
        <v>3</v>
      </c>
      <c r="W37" s="38"/>
      <c r="X37" s="38">
        <v>3</v>
      </c>
      <c r="Y37" s="38">
        <v>3</v>
      </c>
      <c r="Z37" s="38">
        <v>3</v>
      </c>
      <c r="AA37" s="38">
        <v>3</v>
      </c>
      <c r="AB37" s="38">
        <v>3</v>
      </c>
      <c r="AC37" s="38">
        <v>3</v>
      </c>
      <c r="AD37" s="89">
        <v>4</v>
      </c>
      <c r="AE37" s="89">
        <v>4</v>
      </c>
      <c r="AF37" s="89">
        <v>5</v>
      </c>
      <c r="AG37" s="89">
        <v>3</v>
      </c>
      <c r="AH37" s="89">
        <v>3</v>
      </c>
      <c r="AI37" s="89">
        <v>4</v>
      </c>
      <c r="AJ37" s="89"/>
      <c r="AK37" s="89"/>
      <c r="AL37" s="89">
        <v>260</v>
      </c>
      <c r="AM37" s="89"/>
      <c r="AN37" s="89"/>
      <c r="AO37" s="89"/>
      <c r="AP37" s="89"/>
      <c r="AQ37" s="95">
        <v>260</v>
      </c>
      <c r="AR37" s="98">
        <v>3</v>
      </c>
      <c r="AS37" s="89"/>
      <c r="AT37" s="95"/>
      <c r="AU37" s="97">
        <v>4</v>
      </c>
      <c r="AV37" s="97">
        <v>8</v>
      </c>
      <c r="AW37" s="108" t="s">
        <v>569</v>
      </c>
      <c r="AX37" s="106"/>
      <c r="AY37" s="106">
        <f t="shared" si="12"/>
        <v>40</v>
      </c>
    </row>
    <row r="38" ht="16.5" customHeight="1" spans="43:47">
      <c r="AQ38">
        <f>SUM(AQ23:AQ37)</f>
        <v>1400</v>
      </c>
      <c r="AS38">
        <f>SUM(AS23:AS37)</f>
        <v>1030</v>
      </c>
      <c r="AU38">
        <f>SUM(AQ38:AS38)</f>
        <v>2430</v>
      </c>
    </row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</sheetData>
  <mergeCells count="88">
    <mergeCell ref="AF1:AG1"/>
    <mergeCell ref="AF2:AG2"/>
    <mergeCell ref="S3:AC3"/>
    <mergeCell ref="AJ3:AK3"/>
    <mergeCell ref="BR3:CB3"/>
    <mergeCell ref="CI3:CJ3"/>
    <mergeCell ref="I5:J5"/>
    <mergeCell ref="BH5:BI5"/>
    <mergeCell ref="I6:J6"/>
    <mergeCell ref="BH6:BI6"/>
    <mergeCell ref="I7:J7"/>
    <mergeCell ref="BH7:BI7"/>
    <mergeCell ref="I8:J8"/>
    <mergeCell ref="BH8:BI8"/>
    <mergeCell ref="I9:J9"/>
    <mergeCell ref="BH9:BI9"/>
    <mergeCell ref="I10:J10"/>
    <mergeCell ref="BH10:BI10"/>
    <mergeCell ref="I11:J11"/>
    <mergeCell ref="BH11:BI11"/>
    <mergeCell ref="I12:J12"/>
    <mergeCell ref="BH12:BI12"/>
    <mergeCell ref="I13:J13"/>
    <mergeCell ref="BH13:BI13"/>
    <mergeCell ref="I14:J14"/>
    <mergeCell ref="BH14:BI14"/>
    <mergeCell ref="I15:J15"/>
    <mergeCell ref="BH15:BI15"/>
    <mergeCell ref="I16:J16"/>
    <mergeCell ref="BH16:BI16"/>
    <mergeCell ref="I17:J17"/>
    <mergeCell ref="BH17:BI17"/>
    <mergeCell ref="I18:J18"/>
    <mergeCell ref="BH18:BI18"/>
    <mergeCell ref="I19:J19"/>
    <mergeCell ref="BH19:BI19"/>
    <mergeCell ref="S21:AC21"/>
    <mergeCell ref="AJ21:AK21"/>
    <mergeCell ref="AL21:AO21"/>
    <mergeCell ref="AQ21:AT21"/>
    <mergeCell ref="I23:J23"/>
    <mergeCell ref="I24:J24"/>
    <mergeCell ref="I25:J25"/>
    <mergeCell ref="I26:J26"/>
    <mergeCell ref="I27:J27"/>
    <mergeCell ref="I28:J28"/>
    <mergeCell ref="I29:J29"/>
    <mergeCell ref="I30:J30"/>
    <mergeCell ref="I31:J31"/>
    <mergeCell ref="I32:J32"/>
    <mergeCell ref="I33:J33"/>
    <mergeCell ref="I34:J34"/>
    <mergeCell ref="I35:J35"/>
    <mergeCell ref="I36:J36"/>
    <mergeCell ref="I37:J37"/>
    <mergeCell ref="A1:A2"/>
    <mergeCell ref="D3:D4"/>
    <mergeCell ref="D21:D22"/>
    <mergeCell ref="E3:E4"/>
    <mergeCell ref="E21:E22"/>
    <mergeCell ref="F3:F4"/>
    <mergeCell ref="F21:F22"/>
    <mergeCell ref="G3:G4"/>
    <mergeCell ref="G21:G22"/>
    <mergeCell ref="H3:H4"/>
    <mergeCell ref="H21:H22"/>
    <mergeCell ref="K3:K4"/>
    <mergeCell ref="K21:K22"/>
    <mergeCell ref="L3:L4"/>
    <mergeCell ref="L21:L22"/>
    <mergeCell ref="AX1:AX4"/>
    <mergeCell ref="BC3:BC4"/>
    <mergeCell ref="BD3:BD4"/>
    <mergeCell ref="BE3:BE4"/>
    <mergeCell ref="BF3:BF4"/>
    <mergeCell ref="BG3:BG4"/>
    <mergeCell ref="BJ3:BJ4"/>
    <mergeCell ref="BK3:BK4"/>
    <mergeCell ref="B3:C4"/>
    <mergeCell ref="BH3:BI4"/>
    <mergeCell ref="B21:C22"/>
    <mergeCell ref="CP2:CS3"/>
    <mergeCell ref="I3:J4"/>
    <mergeCell ref="BA3:BB4"/>
    <mergeCell ref="I21:J22"/>
    <mergeCell ref="AL2:AP3"/>
    <mergeCell ref="AQ2:AT3"/>
    <mergeCell ref="CK2:CO3"/>
  </mergeCells>
  <conditionalFormatting sqref="S14:V14">
    <cfRule type="cellIs" dxfId="0" priority="155" operator="equal">
      <formula>3</formula>
    </cfRule>
    <cfRule type="cellIs" dxfId="1" priority="156" operator="equal">
      <formula>2</formula>
    </cfRule>
    <cfRule type="cellIs" dxfId="2" priority="157" operator="equal">
      <formula>1</formula>
    </cfRule>
  </conditionalFormatting>
  <conditionalFormatting sqref="AB14">
    <cfRule type="cellIs" dxfId="0" priority="149" operator="equal">
      <formula>3</formula>
    </cfRule>
    <cfRule type="cellIs" dxfId="1" priority="150" operator="equal">
      <formula>2</formula>
    </cfRule>
    <cfRule type="cellIs" dxfId="2" priority="151" operator="equal">
      <formula>1</formula>
    </cfRule>
  </conditionalFormatting>
  <conditionalFormatting sqref="S15:V15">
    <cfRule type="cellIs" dxfId="0" priority="137" operator="equal">
      <formula>3</formula>
    </cfRule>
    <cfRule type="cellIs" dxfId="1" priority="138" operator="equal">
      <formula>2</formula>
    </cfRule>
    <cfRule type="cellIs" dxfId="2" priority="139" operator="equal">
      <formula>1</formula>
    </cfRule>
  </conditionalFormatting>
  <conditionalFormatting sqref="X15:AC15">
    <cfRule type="cellIs" dxfId="0" priority="131" operator="equal">
      <formula>3</formula>
    </cfRule>
    <cfRule type="cellIs" dxfId="1" priority="132" operator="equal">
      <formula>2</formula>
    </cfRule>
    <cfRule type="cellIs" dxfId="2" priority="133" operator="equal">
      <formula>1</formula>
    </cfRule>
  </conditionalFormatting>
  <conditionalFormatting sqref="BW15:BY15">
    <cfRule type="cellIs" dxfId="0" priority="102" operator="equal">
      <formula>3</formula>
    </cfRule>
    <cfRule type="cellIs" dxfId="1" priority="103" operator="equal">
      <formula>2</formula>
    </cfRule>
    <cfRule type="cellIs" dxfId="2" priority="104" operator="equal">
      <formula>1</formula>
    </cfRule>
  </conditionalFormatting>
  <conditionalFormatting sqref="K5:K19">
    <cfRule type="endsWith" dxfId="3" priority="167" operator="notEqual" text="体验关">
      <formula>RIGHT(K5,LEN("体验关"))="体验关"</formula>
    </cfRule>
  </conditionalFormatting>
  <conditionalFormatting sqref="K23:K37">
    <cfRule type="endsWith" dxfId="3" priority="64" operator="notEqual" text="体验关">
      <formula>RIGHT(K23,LEN("体验关"))="体验关"</formula>
    </cfRule>
  </conditionalFormatting>
  <conditionalFormatting sqref="M5:M19">
    <cfRule type="cellIs" dxfId="4" priority="41" operator="greaterThan">
      <formula>0</formula>
    </cfRule>
  </conditionalFormatting>
  <conditionalFormatting sqref="M23:M37">
    <cfRule type="cellIs" dxfId="4" priority="33" operator="greaterThan">
      <formula>0</formula>
    </cfRule>
  </conditionalFormatting>
  <conditionalFormatting sqref="W24:W32">
    <cfRule type="cellIs" dxfId="0" priority="58" operator="equal">
      <formula>3</formula>
    </cfRule>
    <cfRule type="cellIs" dxfId="1" priority="59" operator="equal">
      <formula>2</formula>
    </cfRule>
    <cfRule type="cellIs" dxfId="2" priority="60" operator="equal">
      <formula>1</formula>
    </cfRule>
  </conditionalFormatting>
  <conditionalFormatting sqref="W33:W37">
    <cfRule type="cellIs" dxfId="0" priority="52" operator="equal">
      <formula>3</formula>
    </cfRule>
    <cfRule type="cellIs" dxfId="1" priority="53" operator="equal">
      <formula>2</formula>
    </cfRule>
    <cfRule type="cellIs" dxfId="2" priority="54" operator="equal">
      <formula>1</formula>
    </cfRule>
  </conditionalFormatting>
  <conditionalFormatting sqref="AL5:AL19">
    <cfRule type="expression" dxfId="5" priority="27">
      <formula>IF(ISNUMBER(FIND("金币",I5)),TRUE,FALSE)</formula>
    </cfRule>
  </conditionalFormatting>
  <conditionalFormatting sqref="AL23:AL37">
    <cfRule type="expression" dxfId="5" priority="22">
      <formula>IF(ISNUMBER(FIND("金币",I23)),TRUE,FALSE)</formula>
    </cfRule>
  </conditionalFormatting>
  <conditionalFormatting sqref="AM5:AM19">
    <cfRule type="expression" dxfId="5" priority="25">
      <formula>IF(ISNUMBER(FIND("点赞",I5)),TRUE,FALSE)</formula>
    </cfRule>
  </conditionalFormatting>
  <conditionalFormatting sqref="AM23:AM37">
    <cfRule type="expression" dxfId="5" priority="21">
      <formula>IF(ISNUMBER(FIND("点赞",I23)),TRUE,FALSE)</formula>
    </cfRule>
  </conditionalFormatting>
  <conditionalFormatting sqref="AN5:AN19">
    <cfRule type="expression" dxfId="5" priority="24">
      <formula>IF(ISNUMBER(FIND("顾客",I5)),TRUE,FALSE)</formula>
    </cfRule>
  </conditionalFormatting>
  <conditionalFormatting sqref="AN23:AN37">
    <cfRule type="expression" dxfId="5" priority="20">
      <formula>IF(ISNUMBER(FIND("顾客",I23)),TRUE,FALSE)</formula>
    </cfRule>
  </conditionalFormatting>
  <conditionalFormatting sqref="AO23:AO37">
    <cfRule type="expression" dxfId="5" priority="19">
      <formula>IF(ISNUMBER(FIND("上菜",I23)),TRUE,FALSE)</formula>
    </cfRule>
  </conditionalFormatting>
  <conditionalFormatting sqref="AP5:AP19">
    <cfRule type="expression" dxfId="5" priority="14">
      <formula>IF(ISNUMBER(FIND("时间",I5)),TRUE,FALSE)</formula>
    </cfRule>
  </conditionalFormatting>
  <conditionalFormatting sqref="AP23:AP37">
    <cfRule type="expression" dxfId="5" priority="12">
      <formula>IF(ISNUMBER(FIND("时间",I23)),TRUE,FALSE)</formula>
    </cfRule>
    <cfRule type="expression" dxfId="5" priority="13">
      <formula>IF(ISNUMBER(FIND("上菜",J23)),TRUE,FALSE)</formula>
    </cfRule>
  </conditionalFormatting>
  <conditionalFormatting sqref="AQ5:AQ19">
    <cfRule type="expression" dxfId="5" priority="3">
      <formula>IF(P5=1,IF(OR(O5=1,O5=2,O5=3),FALSE,TRUE),TRUE)</formula>
    </cfRule>
  </conditionalFormatting>
  <conditionalFormatting sqref="AQ23:AQ37">
    <cfRule type="expression" dxfId="5" priority="2">
      <formula>IF(P23=1,IF(OR(O23=1,O23=2,O23=3),FALSE,TRUE),TRUE)</formula>
    </cfRule>
  </conditionalFormatting>
  <conditionalFormatting sqref="AS5:AS19">
    <cfRule type="expression" dxfId="5" priority="6">
      <formula>IF(P5=1,IF(OR(O5=1,O5=2,O5=3),TRUE,FALSE),FALSE)</formula>
    </cfRule>
  </conditionalFormatting>
  <conditionalFormatting sqref="AS23:AS37">
    <cfRule type="expression" dxfId="5" priority="5">
      <formula>IF(P23=1,IF(OR(O23=1,O23=2,O23=3),TRUE,FALSE),FALSE)</formula>
    </cfRule>
  </conditionalFormatting>
  <conditionalFormatting sqref="AT5:AT19">
    <cfRule type="expression" dxfId="5" priority="9">
      <formula>IF(P5=1,IF(OR(O5=1,O5=2,O5=3),TRUE,FALSE),FALSE)</formula>
    </cfRule>
  </conditionalFormatting>
  <conditionalFormatting sqref="AT23:AT37">
    <cfRule type="expression" dxfId="5" priority="8">
      <formula>IF(P23=1,IF(OR(O23=1,O23=2,O23=3),TRUE,FALSE),FALSE)</formula>
    </cfRule>
  </conditionalFormatting>
  <conditionalFormatting sqref="BJ5:BJ19">
    <cfRule type="endsWith" dxfId="3" priority="126" operator="notEqual" text="体验关">
      <formula>RIGHT(BJ5,LEN("体验关"))="体验关"</formula>
    </cfRule>
  </conditionalFormatting>
  <conditionalFormatting sqref="BL5:BL19">
    <cfRule type="cellIs" dxfId="4" priority="37" operator="greaterThan">
      <formula>0</formula>
    </cfRule>
  </conditionalFormatting>
  <conditionalFormatting sqref="BV6:BV14">
    <cfRule type="cellIs" dxfId="0" priority="120" operator="equal">
      <formula>3</formula>
    </cfRule>
    <cfRule type="cellIs" dxfId="1" priority="121" operator="equal">
      <formula>2</formula>
    </cfRule>
    <cfRule type="cellIs" dxfId="2" priority="122" operator="equal">
      <formula>1</formula>
    </cfRule>
  </conditionalFormatting>
  <conditionalFormatting sqref="BV15:BV19">
    <cfRule type="cellIs" dxfId="0" priority="114" operator="equal">
      <formula>3</formula>
    </cfRule>
    <cfRule type="cellIs" dxfId="1" priority="115" operator="equal">
      <formula>2</formula>
    </cfRule>
    <cfRule type="cellIs" dxfId="2" priority="116" operator="equal">
      <formula>1</formula>
    </cfRule>
  </conditionalFormatting>
  <conditionalFormatting sqref="CK5:CK19">
    <cfRule type="expression" dxfId="5" priority="18">
      <formula>IF(ISNUMBER(FIND("金币",BH5)),TRUE,FALSE)</formula>
    </cfRule>
  </conditionalFormatting>
  <conditionalFormatting sqref="CL5:CL19">
    <cfRule type="expression" dxfId="5" priority="17">
      <formula>IF(ISNUMBER(FIND("点赞",BH5)),TRUE,FALSE)</formula>
    </cfRule>
  </conditionalFormatting>
  <conditionalFormatting sqref="CM5:CM19">
    <cfRule type="expression" dxfId="5" priority="16">
      <formula>IF(ISNUMBER(FIND("顾客",BH5)),TRUE,FALSE)</formula>
    </cfRule>
  </conditionalFormatting>
  <conditionalFormatting sqref="CN5:CN19">
    <cfRule type="expression" dxfId="5" priority="15">
      <formula>IF(ISNUMBER(FIND("上菜",BH5)),TRUE,FALSE)</formula>
    </cfRule>
  </conditionalFormatting>
  <conditionalFormatting sqref="CO5:CO19">
    <cfRule type="expression" dxfId="5" priority="10">
      <formula>IF(ISNUMBER(FIND("时间",BH5)),TRUE,FALSE)</formula>
    </cfRule>
    <cfRule type="expression" dxfId="5" priority="11">
      <formula>IF(ISNUMBER(FIND("上菜",BI5)),TRUE,FALSE)</formula>
    </cfRule>
  </conditionalFormatting>
  <conditionalFormatting sqref="CP5:CP19">
    <cfRule type="expression" dxfId="5" priority="1">
      <formula>IF(BO5=1,IF(OR(BN5=1,BN5=2,BN5=3),FALSE,TRUE),TRUE)</formula>
    </cfRule>
  </conditionalFormatting>
  <conditionalFormatting sqref="CR5:CR19">
    <cfRule type="expression" dxfId="5" priority="4">
      <formula>IF(BO5=1,IF(OR(BN5=1,BN5=2,BN5=3),TRUE,FALSE),FALSE)</formula>
    </cfRule>
  </conditionalFormatting>
  <conditionalFormatting sqref="CS5:CS19">
    <cfRule type="expression" dxfId="5" priority="7">
      <formula>IF(BO5=1,IF(OR(BN5=1,BN5=2,BN5=3),TRUE,FALSE),FALSE)</formula>
    </cfRule>
  </conditionalFormatting>
  <conditionalFormatting sqref="CW5:CW19">
    <cfRule type="cellIs" dxfId="6" priority="28" operator="greaterThan">
      <formula>0</formula>
    </cfRule>
  </conditionalFormatting>
  <conditionalFormatting sqref="N5:N19 R5:R19">
    <cfRule type="cellIs" dxfId="0" priority="38" operator="equal">
      <formula>3</formula>
    </cfRule>
    <cfRule type="cellIs" dxfId="1" priority="39" operator="equal">
      <formula>2</formula>
    </cfRule>
    <cfRule type="cellIs" dxfId="2" priority="40" operator="equal">
      <formula>1</formula>
    </cfRule>
  </conditionalFormatting>
  <conditionalFormatting sqref="S5:V13">
    <cfRule type="cellIs" dxfId="0" priority="164" operator="equal">
      <formula>3</formula>
    </cfRule>
    <cfRule type="cellIs" dxfId="1" priority="165" operator="equal">
      <formula>2</formula>
    </cfRule>
    <cfRule type="cellIs" dxfId="2" priority="166" operator="equal">
      <formula>1</formula>
    </cfRule>
  </conditionalFormatting>
  <conditionalFormatting sqref="X5:AC8 AC12:AC14 Z11:AA14 AB12:AB13 AB11:AC11 Z9:AC10 X9:Y14">
    <cfRule type="cellIs" dxfId="0" priority="158" operator="equal">
      <formula>3</formula>
    </cfRule>
    <cfRule type="cellIs" dxfId="1" priority="159" operator="equal">
      <formula>2</formula>
    </cfRule>
    <cfRule type="cellIs" dxfId="2" priority="160" operator="equal">
      <formula>1</formula>
    </cfRule>
  </conditionalFormatting>
  <conditionalFormatting sqref="AO5:AP19">
    <cfRule type="expression" dxfId="5" priority="23">
      <formula>IF(ISNUMBER(FIND("上菜",I5)),TRUE,FALSE)</formula>
    </cfRule>
  </conditionalFormatting>
  <conditionalFormatting sqref="AX5:AX19 AX23:AX37">
    <cfRule type="cellIs" dxfId="6" priority="29" operator="greaterThan">
      <formula>0</formula>
    </cfRule>
  </conditionalFormatting>
  <conditionalFormatting sqref="BM5:BM19 BQ5:BQ19">
    <cfRule type="cellIs" dxfId="0" priority="34" operator="equal">
      <formula>3</formula>
    </cfRule>
    <cfRule type="cellIs" dxfId="1" priority="35" operator="equal">
      <formula>2</formula>
    </cfRule>
    <cfRule type="cellIs" dxfId="2" priority="36" operator="equal">
      <formula>1</formula>
    </cfRule>
  </conditionalFormatting>
  <conditionalFormatting sqref="BR5:BU14">
    <cfRule type="cellIs" dxfId="0" priority="123" operator="equal">
      <formula>3</formula>
    </cfRule>
    <cfRule type="cellIs" dxfId="1" priority="124" operator="equal">
      <formula>2</formula>
    </cfRule>
    <cfRule type="cellIs" dxfId="2" priority="125" operator="equal">
      <formula>1</formula>
    </cfRule>
  </conditionalFormatting>
  <conditionalFormatting sqref="BW5:CB14">
    <cfRule type="cellIs" dxfId="0" priority="117" operator="equal">
      <formula>3</formula>
    </cfRule>
    <cfRule type="cellIs" dxfId="1" priority="118" operator="equal">
      <formula>2</formula>
    </cfRule>
    <cfRule type="cellIs" dxfId="2" priority="119" operator="equal">
      <formula>1</formula>
    </cfRule>
  </conditionalFormatting>
  <conditionalFormatting sqref="BR15:BU19">
    <cfRule type="cellIs" dxfId="0" priority="108" operator="equal">
      <formula>3</formula>
    </cfRule>
    <cfRule type="cellIs" dxfId="1" priority="109" operator="equal">
      <formula>2</formula>
    </cfRule>
    <cfRule type="cellIs" dxfId="2" priority="110" operator="equal">
      <formula>1</formula>
    </cfRule>
  </conditionalFormatting>
  <conditionalFormatting sqref="BZ15:CB19">
    <cfRule type="cellIs" dxfId="0" priority="111" operator="equal">
      <formula>3</formula>
    </cfRule>
    <cfRule type="cellIs" dxfId="1" priority="112" operator="equal">
      <formula>2</formula>
    </cfRule>
    <cfRule type="cellIs" dxfId="2" priority="113" operator="equal">
      <formula>1</formula>
    </cfRule>
  </conditionalFormatting>
  <conditionalFormatting sqref="S16:V19">
    <cfRule type="cellIs" dxfId="0" priority="146" operator="equal">
      <formula>3</formula>
    </cfRule>
    <cfRule type="cellIs" dxfId="1" priority="147" operator="equal">
      <formula>2</formula>
    </cfRule>
    <cfRule type="cellIs" dxfId="2" priority="148" operator="equal">
      <formula>1</formula>
    </cfRule>
  </conditionalFormatting>
  <conditionalFormatting sqref="X16:AC19">
    <cfRule type="cellIs" dxfId="0" priority="140" operator="equal">
      <formula>3</formula>
    </cfRule>
    <cfRule type="cellIs" dxfId="1" priority="141" operator="equal">
      <formula>2</formula>
    </cfRule>
    <cfRule type="cellIs" dxfId="2" priority="142" operator="equal">
      <formula>1</formula>
    </cfRule>
  </conditionalFormatting>
  <conditionalFormatting sqref="BW16:BY19">
    <cfRule type="cellIs" dxfId="0" priority="105" operator="equal">
      <formula>3</formula>
    </cfRule>
    <cfRule type="cellIs" dxfId="1" priority="106" operator="equal">
      <formula>2</formula>
    </cfRule>
    <cfRule type="cellIs" dxfId="2" priority="107" operator="equal">
      <formula>1</formula>
    </cfRule>
  </conditionalFormatting>
  <conditionalFormatting sqref="N23:N37 R23:R37">
    <cfRule type="cellIs" dxfId="0" priority="30" operator="equal">
      <formula>3</formula>
    </cfRule>
    <cfRule type="cellIs" dxfId="1" priority="31" operator="equal">
      <formula>2</formula>
    </cfRule>
    <cfRule type="cellIs" dxfId="2" priority="32" operator="equal">
      <formula>1</formula>
    </cfRule>
  </conditionalFormatting>
  <conditionalFormatting sqref="S23:V32">
    <cfRule type="cellIs" dxfId="0" priority="61" operator="equal">
      <formula>3</formula>
    </cfRule>
    <cfRule type="cellIs" dxfId="1" priority="62" operator="equal">
      <formula>2</formula>
    </cfRule>
    <cfRule type="cellIs" dxfId="2" priority="63" operator="equal">
      <formula>1</formula>
    </cfRule>
  </conditionalFormatting>
  <conditionalFormatting sqref="X23:AC32">
    <cfRule type="cellIs" dxfId="0" priority="55" operator="equal">
      <formula>3</formula>
    </cfRule>
    <cfRule type="cellIs" dxfId="1" priority="56" operator="equal">
      <formula>2</formula>
    </cfRule>
    <cfRule type="cellIs" dxfId="2" priority="57" operator="equal">
      <formula>1</formula>
    </cfRule>
  </conditionalFormatting>
  <conditionalFormatting sqref="S33:V37">
    <cfRule type="cellIs" dxfId="0" priority="46" operator="equal">
      <formula>3</formula>
    </cfRule>
    <cfRule type="cellIs" dxfId="1" priority="47" operator="equal">
      <formula>2</formula>
    </cfRule>
    <cfRule type="cellIs" dxfId="2" priority="48" operator="equal">
      <formula>1</formula>
    </cfRule>
  </conditionalFormatting>
  <conditionalFormatting sqref="X33:AC37">
    <cfRule type="cellIs" dxfId="0" priority="49" operator="equal">
      <formula>3</formula>
    </cfRule>
    <cfRule type="cellIs" dxfId="1" priority="50" operator="equal">
      <formula>2</formula>
    </cfRule>
    <cfRule type="cellIs" dxfId="2" priority="51" operator="equal">
      <formula>1</formula>
    </cfRule>
  </conditionalFormatting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7409" r:id="rId3" name="ToggleButton1">
          <controlPr defaultSize="0" r:id="rId4">
            <anchor moveWithCells="1">
              <from>
                <xdr:col>6</xdr:col>
                <xdr:colOff>104140</xdr:colOff>
                <xdr:row>0</xdr:row>
                <xdr:rowOff>67945</xdr:rowOff>
              </from>
              <to>
                <xdr:col>10</xdr:col>
                <xdr:colOff>200025</xdr:colOff>
                <xdr:row>1</xdr:row>
                <xdr:rowOff>169545</xdr:rowOff>
              </to>
            </anchor>
          </controlPr>
        </control>
      </mc:Choice>
      <mc:Fallback>
        <control shapeId="17409" r:id="rId3" name="Toggle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>
    <tabColor theme="5"/>
  </sheetPr>
  <dimension ref="A1:AK29"/>
  <sheetViews>
    <sheetView workbookViewId="0">
      <selection activeCell="D12" sqref="D12"/>
    </sheetView>
  </sheetViews>
  <sheetFormatPr defaultColWidth="9" defaultRowHeight="14.25"/>
  <cols>
    <col min="1" max="1" width="10.875" customWidth="1"/>
    <col min="3" max="3" width="10.75" customWidth="1"/>
    <col min="4" max="4" width="12.5" customWidth="1"/>
    <col min="9" max="9" width="11.5"/>
    <col min="10" max="10" width="17.5" customWidth="1"/>
    <col min="11" max="11" width="13" customWidth="1"/>
  </cols>
  <sheetData>
    <row r="1" ht="27" spans="1:37">
      <c r="A1" s="1" t="s">
        <v>570</v>
      </c>
      <c r="B1" s="2" t="s">
        <v>571</v>
      </c>
      <c r="C1" s="1" t="s">
        <v>572</v>
      </c>
      <c r="D1" s="3" t="s">
        <v>572</v>
      </c>
      <c r="E1" s="4"/>
      <c r="F1" s="5"/>
      <c r="G1" s="5"/>
      <c r="Q1" s="13"/>
      <c r="S1" s="33" t="s">
        <v>573</v>
      </c>
      <c r="T1" s="34"/>
      <c r="U1" s="34"/>
      <c r="V1" s="35" t="s">
        <v>506</v>
      </c>
      <c r="W1" s="35"/>
      <c r="X1" s="35"/>
      <c r="Y1" s="35"/>
      <c r="Z1" s="35"/>
      <c r="AA1" s="35"/>
      <c r="AB1" s="41" t="s">
        <v>574</v>
      </c>
      <c r="AC1" s="42"/>
      <c r="AD1" s="42"/>
      <c r="AE1" s="42"/>
      <c r="AF1" s="43"/>
      <c r="AG1" s="35" t="s">
        <v>575</v>
      </c>
      <c r="AH1" s="35"/>
      <c r="AI1" s="35"/>
      <c r="AJ1" s="35"/>
      <c r="AK1" s="35"/>
    </row>
    <row r="2" spans="1:37">
      <c r="A2" s="6" t="s">
        <v>576</v>
      </c>
      <c r="B2" s="7"/>
      <c r="C2" s="7"/>
      <c r="D2" s="7"/>
      <c r="E2" s="8"/>
      <c r="F2" s="8"/>
      <c r="G2" s="8"/>
      <c r="Q2" s="15"/>
      <c r="S2" s="8"/>
      <c r="T2" s="36"/>
      <c r="U2" s="36"/>
      <c r="V2" s="37" t="s">
        <v>507</v>
      </c>
      <c r="W2" s="38"/>
      <c r="X2" s="38"/>
      <c r="Y2" s="38"/>
      <c r="Z2" s="38"/>
      <c r="AA2" s="38"/>
      <c r="AB2" s="44" t="s">
        <v>574</v>
      </c>
      <c r="AC2" s="45"/>
      <c r="AD2" s="45"/>
      <c r="AE2" s="45"/>
      <c r="AF2" s="46"/>
      <c r="AG2" s="38" t="s">
        <v>577</v>
      </c>
      <c r="AH2" s="38"/>
      <c r="AI2" s="38"/>
      <c r="AJ2" s="38"/>
      <c r="AK2" s="38"/>
    </row>
    <row r="3" spans="1:37">
      <c r="A3" s="9"/>
      <c r="B3" s="8"/>
      <c r="C3" s="8"/>
      <c r="D3" s="8"/>
      <c r="E3" s="8"/>
      <c r="F3" s="8"/>
      <c r="G3" s="8"/>
      <c r="Q3" s="15"/>
      <c r="S3" s="8"/>
      <c r="T3" s="36"/>
      <c r="U3" s="36"/>
      <c r="V3" s="37" t="s">
        <v>508</v>
      </c>
      <c r="W3" s="38"/>
      <c r="X3" s="38"/>
      <c r="Y3" s="38"/>
      <c r="Z3" s="38"/>
      <c r="AA3" s="38"/>
      <c r="AB3" s="44" t="s">
        <v>574</v>
      </c>
      <c r="AC3" s="45"/>
      <c r="AD3" s="45"/>
      <c r="AE3" s="45"/>
      <c r="AF3" s="46"/>
      <c r="AG3" s="38" t="s">
        <v>577</v>
      </c>
      <c r="AH3" s="38"/>
      <c r="AI3" s="38"/>
      <c r="AJ3" s="38"/>
      <c r="AK3" s="38"/>
    </row>
    <row r="4" spans="1:37">
      <c r="A4" s="10" t="s">
        <v>487</v>
      </c>
      <c r="B4" s="10">
        <v>0</v>
      </c>
      <c r="C4" s="11" t="s">
        <v>506</v>
      </c>
      <c r="D4" s="12" t="s">
        <v>462</v>
      </c>
      <c r="E4" s="13"/>
      <c r="F4" s="5"/>
      <c r="G4" s="5"/>
      <c r="Q4" s="15"/>
      <c r="S4" s="8"/>
      <c r="T4" s="36"/>
      <c r="U4" s="36"/>
      <c r="V4" s="37" t="s">
        <v>509</v>
      </c>
      <c r="W4" s="38"/>
      <c r="X4" s="38"/>
      <c r="Y4" s="38"/>
      <c r="Z4" s="38"/>
      <c r="AA4" s="38"/>
      <c r="AB4" s="44" t="s">
        <v>574</v>
      </c>
      <c r="AC4" s="45"/>
      <c r="AD4" s="45"/>
      <c r="AE4" s="45"/>
      <c r="AF4" s="46"/>
      <c r="AG4" s="38" t="s">
        <v>577</v>
      </c>
      <c r="AH4" s="38"/>
      <c r="AI4" s="38"/>
      <c r="AJ4" s="38"/>
      <c r="AK4" s="38"/>
    </row>
    <row r="5" spans="1:37">
      <c r="A5" s="14"/>
      <c r="B5" s="14">
        <v>1</v>
      </c>
      <c r="C5" s="15" t="s">
        <v>507</v>
      </c>
      <c r="D5" s="16" t="s">
        <v>578</v>
      </c>
      <c r="E5" s="13"/>
      <c r="F5" s="5"/>
      <c r="G5" s="5"/>
      <c r="Q5" s="15"/>
      <c r="AB5" s="40"/>
      <c r="AC5" s="40"/>
      <c r="AD5" s="40"/>
      <c r="AE5" s="40"/>
      <c r="AF5" s="40"/>
      <c r="AG5" s="40"/>
      <c r="AH5" s="40"/>
      <c r="AI5" s="40"/>
      <c r="AJ5" s="40"/>
      <c r="AK5" s="40"/>
    </row>
    <row r="6" spans="1:37">
      <c r="A6" s="14"/>
      <c r="B6" s="14">
        <v>2</v>
      </c>
      <c r="C6" s="15" t="s">
        <v>508</v>
      </c>
      <c r="D6" s="16" t="s">
        <v>579</v>
      </c>
      <c r="E6" s="13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38" t="s">
        <v>580</v>
      </c>
      <c r="T6" s="38"/>
      <c r="U6" s="38"/>
      <c r="V6" s="37" t="s">
        <v>506</v>
      </c>
      <c r="W6" s="38"/>
      <c r="X6" s="38"/>
      <c r="Y6" s="38"/>
      <c r="Z6" s="38"/>
      <c r="AA6" s="38"/>
      <c r="AB6" s="41" t="s">
        <v>574</v>
      </c>
      <c r="AC6" s="42"/>
      <c r="AD6" s="42"/>
      <c r="AE6" s="42"/>
      <c r="AF6" s="43"/>
      <c r="AG6" s="35" t="s">
        <v>575</v>
      </c>
      <c r="AH6" s="35"/>
      <c r="AI6" s="35"/>
      <c r="AJ6" s="35"/>
      <c r="AK6" s="35"/>
    </row>
    <row r="7" spans="1:37">
      <c r="A7" s="17"/>
      <c r="B7" s="17">
        <v>3</v>
      </c>
      <c r="C7" s="18" t="s">
        <v>509</v>
      </c>
      <c r="D7" s="19" t="s">
        <v>581</v>
      </c>
      <c r="E7" s="13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8"/>
      <c r="T7" s="36"/>
      <c r="U7" s="36"/>
      <c r="V7" s="37" t="s">
        <v>507</v>
      </c>
      <c r="W7" s="38"/>
      <c r="X7" s="38"/>
      <c r="Y7" s="38"/>
      <c r="Z7" s="38"/>
      <c r="AA7" s="38"/>
      <c r="AB7" s="47" t="s">
        <v>582</v>
      </c>
      <c r="AC7" s="48"/>
      <c r="AD7" s="48"/>
      <c r="AE7" s="48"/>
      <c r="AF7" s="49"/>
      <c r="AG7" s="38" t="s">
        <v>577</v>
      </c>
      <c r="AH7" s="38"/>
      <c r="AI7" s="38"/>
      <c r="AJ7" s="38"/>
      <c r="AK7" s="38"/>
    </row>
    <row r="8" spans="1:37">
      <c r="A8" s="10" t="s">
        <v>488</v>
      </c>
      <c r="B8" s="10">
        <v>0</v>
      </c>
      <c r="C8" s="11" t="s">
        <v>573</v>
      </c>
      <c r="D8" s="12" t="s">
        <v>424</v>
      </c>
      <c r="E8" s="13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8"/>
      <c r="T8" s="36"/>
      <c r="U8" s="36"/>
      <c r="V8" s="37" t="s">
        <v>508</v>
      </c>
      <c r="W8" s="38"/>
      <c r="X8" s="38"/>
      <c r="Y8" s="38"/>
      <c r="Z8" s="38"/>
      <c r="AA8" s="38"/>
      <c r="AB8" s="47" t="s">
        <v>582</v>
      </c>
      <c r="AC8" s="48"/>
      <c r="AD8" s="48"/>
      <c r="AE8" s="48"/>
      <c r="AF8" s="49"/>
      <c r="AG8" s="38" t="s">
        <v>577</v>
      </c>
      <c r="AH8" s="38"/>
      <c r="AI8" s="38"/>
      <c r="AJ8" s="38"/>
      <c r="AK8" s="38"/>
    </row>
    <row r="9" spans="1:37">
      <c r="A9" s="17"/>
      <c r="B9" s="17">
        <v>1</v>
      </c>
      <c r="C9" s="18" t="s">
        <v>580</v>
      </c>
      <c r="D9" s="19" t="s">
        <v>583</v>
      </c>
      <c r="E9" s="13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8"/>
      <c r="T9" s="36"/>
      <c r="U9" s="36"/>
      <c r="V9" s="37" t="s">
        <v>509</v>
      </c>
      <c r="W9" s="38"/>
      <c r="X9" s="38"/>
      <c r="Y9" s="38"/>
      <c r="Z9" s="38"/>
      <c r="AA9" s="38"/>
      <c r="AB9" s="47" t="s">
        <v>582</v>
      </c>
      <c r="AC9" s="48"/>
      <c r="AD9" s="48"/>
      <c r="AE9" s="48"/>
      <c r="AF9" s="49"/>
      <c r="AG9" s="38" t="s">
        <v>577</v>
      </c>
      <c r="AH9" s="38"/>
      <c r="AI9" s="38"/>
      <c r="AJ9" s="38"/>
      <c r="AK9" s="38"/>
    </row>
    <row r="10" spans="1:37">
      <c r="A10" s="10" t="s">
        <v>489</v>
      </c>
      <c r="B10" s="10">
        <v>0</v>
      </c>
      <c r="C10" s="11" t="s">
        <v>584</v>
      </c>
      <c r="D10" s="12" t="s">
        <v>585</v>
      </c>
      <c r="E10" s="13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</row>
    <row r="11" spans="1:37">
      <c r="A11" s="14"/>
      <c r="B11" s="14">
        <v>1</v>
      </c>
      <c r="C11" s="15" t="s">
        <v>586</v>
      </c>
      <c r="D11" s="16" t="s">
        <v>587</v>
      </c>
      <c r="E11" s="13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</row>
    <row r="12" spans="1:37">
      <c r="A12" s="14"/>
      <c r="B12" s="14">
        <v>2</v>
      </c>
      <c r="C12" s="15" t="s">
        <v>588</v>
      </c>
      <c r="D12" s="16" t="s">
        <v>589</v>
      </c>
      <c r="E12" s="13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</row>
    <row r="13" spans="1:9">
      <c r="A13" s="17"/>
      <c r="B13" s="17">
        <v>3</v>
      </c>
      <c r="C13" s="20" t="s">
        <v>590</v>
      </c>
      <c r="D13" s="21"/>
      <c r="I13" s="32"/>
    </row>
    <row r="17" spans="1:3">
      <c r="A17" s="22" t="s">
        <v>393</v>
      </c>
      <c r="B17" s="23" t="s">
        <v>428</v>
      </c>
      <c r="C17" s="23" t="s">
        <v>482</v>
      </c>
    </row>
    <row r="18" spans="1:10">
      <c r="A18" s="24" t="s">
        <v>445</v>
      </c>
      <c r="B18" s="25">
        <v>1</v>
      </c>
      <c r="C18" s="25">
        <v>1000</v>
      </c>
      <c r="J18" t="s">
        <v>25</v>
      </c>
    </row>
    <row r="19" spans="1:11">
      <c r="A19" s="26" t="s">
        <v>446</v>
      </c>
      <c r="B19" s="27">
        <v>1</v>
      </c>
      <c r="C19" s="27">
        <v>1003</v>
      </c>
      <c r="J19" t="s">
        <v>591</v>
      </c>
      <c r="K19" t="s">
        <v>592</v>
      </c>
    </row>
    <row r="20" spans="1:11">
      <c r="A20" s="26" t="s">
        <v>447</v>
      </c>
      <c r="B20" s="27">
        <v>1</v>
      </c>
      <c r="C20" s="27">
        <v>1005</v>
      </c>
      <c r="J20" t="s">
        <v>593</v>
      </c>
      <c r="K20" t="s">
        <v>594</v>
      </c>
    </row>
    <row r="21" spans="1:11">
      <c r="A21" s="26" t="s">
        <v>448</v>
      </c>
      <c r="B21" s="27">
        <v>4</v>
      </c>
      <c r="C21" s="27">
        <v>1002</v>
      </c>
      <c r="J21" t="s">
        <v>514</v>
      </c>
      <c r="K21" t="s">
        <v>595</v>
      </c>
    </row>
    <row r="22" spans="1:3">
      <c r="A22" s="26" t="s">
        <v>449</v>
      </c>
      <c r="B22" s="27">
        <v>8</v>
      </c>
      <c r="C22" s="27">
        <v>1004</v>
      </c>
    </row>
    <row r="23" spans="1:3">
      <c r="A23" s="9" t="s">
        <v>450</v>
      </c>
      <c r="B23" s="28">
        <v>6</v>
      </c>
      <c r="C23" s="28">
        <v>1001</v>
      </c>
    </row>
    <row r="24" spans="1:3">
      <c r="A24" s="29"/>
      <c r="B24" s="29"/>
      <c r="C24" s="29"/>
    </row>
    <row r="25" spans="1:3">
      <c r="A25" s="22" t="s">
        <v>393</v>
      </c>
      <c r="B25" s="23" t="s">
        <v>428</v>
      </c>
      <c r="C25" s="23" t="s">
        <v>85</v>
      </c>
    </row>
    <row r="26" spans="1:3">
      <c r="A26" s="26" t="s">
        <v>437</v>
      </c>
      <c r="B26" s="30">
        <v>1</v>
      </c>
      <c r="C26" s="30">
        <v>2001</v>
      </c>
    </row>
    <row r="27" spans="1:3">
      <c r="A27" s="26" t="s">
        <v>438</v>
      </c>
      <c r="B27" s="30">
        <v>1</v>
      </c>
      <c r="C27" s="30">
        <v>2002</v>
      </c>
    </row>
    <row r="28" spans="1:3">
      <c r="A28" s="26" t="s">
        <v>439</v>
      </c>
      <c r="B28" s="30">
        <v>1</v>
      </c>
      <c r="C28" s="30">
        <v>2003</v>
      </c>
    </row>
    <row r="29" spans="1:3">
      <c r="A29" s="9" t="s">
        <v>440</v>
      </c>
      <c r="B29" s="31">
        <v>8</v>
      </c>
      <c r="C29" s="31">
        <v>2004</v>
      </c>
    </row>
  </sheetData>
  <mergeCells count="36">
    <mergeCell ref="S1:U1"/>
    <mergeCell ref="V1:AA1"/>
    <mergeCell ref="AB1:AF1"/>
    <mergeCell ref="AG1:AK1"/>
    <mergeCell ref="A2:D2"/>
    <mergeCell ref="V2:AA2"/>
    <mergeCell ref="AB2:AF2"/>
    <mergeCell ref="AG2:AK2"/>
    <mergeCell ref="V3:AA3"/>
    <mergeCell ref="AB3:AF3"/>
    <mergeCell ref="AG3:AK3"/>
    <mergeCell ref="V4:AA4"/>
    <mergeCell ref="AB4:AF4"/>
    <mergeCell ref="AG4:AK4"/>
    <mergeCell ref="AB5:AF5"/>
    <mergeCell ref="AG5:AK5"/>
    <mergeCell ref="S6:U6"/>
    <mergeCell ref="V6:AA6"/>
    <mergeCell ref="AB6:AF6"/>
    <mergeCell ref="AG6:AK6"/>
    <mergeCell ref="V7:AA7"/>
    <mergeCell ref="AB7:AF7"/>
    <mergeCell ref="AG7:AK7"/>
    <mergeCell ref="V8:AA8"/>
    <mergeCell ref="AB8:AF8"/>
    <mergeCell ref="AG8:AK8"/>
    <mergeCell ref="V9:AA9"/>
    <mergeCell ref="AB9:AF9"/>
    <mergeCell ref="AG9:AK9"/>
    <mergeCell ref="V12:AA12"/>
    <mergeCell ref="AB12:AF12"/>
    <mergeCell ref="AG12:AK12"/>
    <mergeCell ref="A4:A7"/>
    <mergeCell ref="A8:A9"/>
    <mergeCell ref="A10:A13"/>
    <mergeCell ref="S10:AK11"/>
  </mergeCells>
  <conditionalFormatting sqref="E4:E1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level</vt:lpstr>
      <vt:lpstr>facility</vt:lpstr>
      <vt:lpstr>prop</vt:lpstr>
      <vt:lpstr>food</vt:lpstr>
      <vt:lpstr>role</vt:lpstr>
      <vt:lpstr>chiplv</vt:lpstr>
      <vt:lpstr>mainconfig</vt:lpstr>
      <vt:lpstr>!1经济</vt:lpstr>
      <vt:lpstr>!店铺横纵向对比</vt:lpstr>
      <vt:lpstr>!无用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dongliang</dc:creator>
  <cp:lastModifiedBy>Administrator</cp:lastModifiedBy>
  <dcterms:created xsi:type="dcterms:W3CDTF">2016-02-24T10:31:00Z</dcterms:created>
  <dcterms:modified xsi:type="dcterms:W3CDTF">2020-03-20T06:40:30Z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2052-11.1.0.9513</vt:lpwstr>
  </property>
  <property fmtid="{D5CDD505-2E9C-101B-9397-08002B2CF9AE}" pid="3" name="KSOReadingLayout">
    <vt:bool>true</vt:bool>
  </property>
</Properties>
</file>